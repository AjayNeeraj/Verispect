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24-Month Projection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7C6EFF"/>
      <sz val="16"/>
    </font>
    <font>
      <i val="1"/>
      <color rgb="006B7280"/>
      <sz val="9"/>
    </font>
    <font>
      <b val="1"/>
    </font>
    <font>
      <b val="1"/>
      <color rgb="007C6E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7C6E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2" borderId="0" pivotButton="0" quotePrefix="0" xfId="0"/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0" fontId="0" fillId="2" borderId="1" applyAlignment="1" pivotButton="0" quotePrefix="0" xfId="0">
      <alignment horizontal="center"/>
    </xf>
    <xf numFmtId="3" fontId="0" fillId="2" borderId="1" pivotButton="0" quotePrefix="0" xfId="0"/>
    <xf numFmtId="164" fontId="0" fillId="2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>
      <c r="A1" s="1" t="inlineStr">
        <is>
          <t>Verispect — Operating Model</t>
        </is>
      </c>
    </row>
    <row r="2">
      <c r="A2" s="2" t="inlineStr">
        <is>
          <t>All drivers live here. Change these; everything downstream recalculates. v1.0 · base year 2026</t>
        </is>
      </c>
    </row>
    <row r="4">
      <c r="A4" s="3" t="inlineStr">
        <is>
          <t>DRIVER</t>
        </is>
      </c>
      <c r="B4" s="4" t="inlineStr">
        <is>
          <t>VALUE</t>
        </is>
      </c>
      <c r="C4" s="2" t="inlineStr">
        <is>
          <t>NOTE</t>
        </is>
      </c>
    </row>
    <row r="5">
      <c r="A5" s="5" t="inlineStr">
        <is>
          <t>Pricing (€/mo)</t>
        </is>
      </c>
    </row>
    <row r="6">
      <c r="A6" s="3" t="inlineStr">
        <is>
          <t>Pro price</t>
        </is>
      </c>
      <c r="B6" s="6" t="n">
        <v>1500</v>
      </c>
      <c r="C6" s="2" t="inlineStr">
        <is>
          <t>Verispect standard, $/mo</t>
        </is>
      </c>
    </row>
    <row r="7">
      <c r="A7" s="3" t="inlineStr">
        <is>
          <t>Business price</t>
        </is>
      </c>
      <c r="B7" s="6" t="n">
        <v>1500</v>
      </c>
      <c r="C7" s="2" t="inlineStr">
        <is>
          <t>Founding rate locked (rises to 2500)</t>
        </is>
      </c>
    </row>
    <row r="8">
      <c r="A8" s="3" t="inlineStr">
        <is>
          <t>Enterprise avg price</t>
        </is>
      </c>
      <c r="B8" s="6" t="n">
        <v>5000</v>
      </c>
      <c r="C8" s="2" t="inlineStr">
        <is>
          <t>multi-entity/SSO/SLA, avg modeled</t>
        </is>
      </c>
    </row>
    <row r="9">
      <c r="A9" s="3" t="inlineStr">
        <is>
          <t>Annual discount</t>
        </is>
      </c>
      <c r="B9" s="7" t="n">
        <v>0.167</v>
      </c>
      <c r="C9" s="2" t="inlineStr">
        <is>
          <t>~2 months free</t>
        </is>
      </c>
    </row>
    <row r="10">
      <c r="A10" s="5" t="inlineStr">
        <is>
          <t>New logos / month</t>
        </is>
      </c>
    </row>
    <row r="11">
      <c r="A11" s="3" t="inlineStr">
        <is>
          <t>New Free signups / mo (start)</t>
        </is>
      </c>
      <c r="B11" s="4" t="n">
        <v>40</v>
      </c>
      <c r="C11" s="2" t="inlineStr">
        <is>
          <t>grows with marketing</t>
        </is>
      </c>
    </row>
    <row r="12">
      <c r="A12" s="3" t="inlineStr">
        <is>
          <t>Free signup monthly growth</t>
        </is>
      </c>
      <c r="B12" s="7" t="n">
        <v>0.12</v>
      </c>
      <c r="C12" s="2" t="inlineStr">
        <is>
          <t>compounding</t>
        </is>
      </c>
    </row>
    <row r="13">
      <c r="A13" s="3" t="inlineStr">
        <is>
          <t>Free -&gt; Pro conversion</t>
        </is>
      </c>
      <c r="B13" s="7" t="n">
        <v>0.06</v>
      </c>
      <c r="C13" s="2" t="inlineStr">
        <is>
          <t>of free base / mo</t>
        </is>
      </c>
    </row>
    <row r="14">
      <c r="A14" s="3" t="inlineStr">
        <is>
          <t>New Pro (direct outbound) / mo</t>
        </is>
      </c>
      <c r="B14" s="4" t="n">
        <v>2</v>
      </c>
      <c r="C14" s="2" t="inlineStr">
        <is>
          <t>founder-led</t>
        </is>
      </c>
    </row>
    <row r="15">
      <c r="A15" s="3" t="inlineStr">
        <is>
          <t>New Business / mo (from mo 4)</t>
        </is>
      </c>
      <c r="B15" s="7" t="n">
        <v>0.7</v>
      </c>
      <c r="C15" s="2" t="inlineStr">
        <is>
          <t>fractional = ~2 per 3 mo</t>
        </is>
      </c>
    </row>
    <row r="16">
      <c r="A16" s="3" t="inlineStr">
        <is>
          <t>New Enterprise / mo (from mo 6)</t>
        </is>
      </c>
      <c r="B16" s="7" t="n">
        <v>0.25</v>
      </c>
      <c r="C16" s="2" t="inlineStr">
        <is>
          <t>~1 per 4 mo</t>
        </is>
      </c>
    </row>
    <row r="17">
      <c r="A17" s="5" t="inlineStr">
        <is>
          <t>Churn (monthly logo)</t>
        </is>
      </c>
    </row>
    <row r="18">
      <c r="A18" s="3" t="inlineStr">
        <is>
          <t>Pro churn</t>
        </is>
      </c>
      <c r="B18" s="7" t="n">
        <v>0.035</v>
      </c>
      <c r="C18" s="2" t="inlineStr">
        <is>
          <t>compliance stickiness</t>
        </is>
      </c>
    </row>
    <row r="19">
      <c r="A19" s="3" t="inlineStr">
        <is>
          <t>Business churn</t>
        </is>
      </c>
      <c r="B19" s="7" t="n">
        <v>0.02</v>
      </c>
      <c r="C19" s="2" t="inlineStr"/>
    </row>
    <row r="20">
      <c r="A20" s="3" t="inlineStr">
        <is>
          <t>Enterprise churn</t>
        </is>
      </c>
      <c r="B20" s="7" t="n">
        <v>0.01</v>
      </c>
      <c r="C20" s="2" t="inlineStr">
        <is>
          <t>annual contracts</t>
        </is>
      </c>
    </row>
    <row r="21">
      <c r="A21" s="5" t="inlineStr">
        <is>
          <t>Expansion</t>
        </is>
      </c>
    </row>
    <row r="22">
      <c r="A22" s="3" t="inlineStr">
        <is>
          <t>Pro -&gt; Business upgrade / mo</t>
        </is>
      </c>
      <c r="B22" s="7" t="n">
        <v>0.03</v>
      </c>
      <c r="C22" s="2" t="inlineStr">
        <is>
          <t>of Pro base</t>
        </is>
      </c>
    </row>
    <row r="23">
      <c r="A23" s="3" t="inlineStr">
        <is>
          <t>Business -&gt; Enterprise / mo</t>
        </is>
      </c>
      <c r="B23" s="7" t="n">
        <v>0.02</v>
      </c>
      <c r="C23" s="2" t="inlineStr">
        <is>
          <t>of Business base</t>
        </is>
      </c>
    </row>
    <row r="24">
      <c r="A24" s="5" t="inlineStr">
        <is>
          <t>Costs</t>
        </is>
      </c>
    </row>
    <row r="25">
      <c r="A25" s="3" t="inlineStr">
        <is>
          <t>COGS % of revenue</t>
        </is>
      </c>
      <c r="B25" s="7" t="n">
        <v>0.12</v>
      </c>
      <c r="C25" s="2" t="inlineStr">
        <is>
          <t>~88-90% gross margin</t>
        </is>
      </c>
    </row>
    <row r="26">
      <c r="A26" s="3" t="inlineStr">
        <is>
          <t>Founder + ops cost / mo</t>
        </is>
      </c>
      <c r="B26" s="6" t="n">
        <v>3000</v>
      </c>
      <c r="C26" s="2" t="inlineStr">
        <is>
          <t>lean early</t>
        </is>
      </c>
    </row>
    <row r="27">
      <c r="A27" s="3" t="inlineStr">
        <is>
          <t>Marketing spend / mo</t>
        </is>
      </c>
      <c r="B27" s="6" t="n">
        <v>500</v>
      </c>
      <c r="C27" s="2" t="inlineStr">
        <is>
          <t>content/ads/events</t>
        </is>
      </c>
    </row>
    <row r="28">
      <c r="A28" s="3" t="inlineStr">
        <is>
          <t>Tooling / infra fixed / mo</t>
        </is>
      </c>
      <c r="B28" s="6" t="n">
        <v>300</v>
      </c>
      <c r="C28" s="2" t="inlineStr">
        <is>
          <t>SaaS stack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15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1" customWidth="1" min="11" max="11"/>
    <col width="12" customWidth="1" min="12" max="12"/>
    <col width="14" customWidth="1" min="13" max="13"/>
  </cols>
  <sheetData>
    <row r="1">
      <c r="A1" s="1" t="inlineStr">
        <is>
          <t>24-Month Projection</t>
        </is>
      </c>
    </row>
    <row r="2">
      <c r="A2" s="2" t="inlineStr">
        <is>
          <t>Customer base, MRR, ARR, P&amp;L. Driven by Assumptions sheet.</t>
        </is>
      </c>
    </row>
    <row r="4">
      <c r="A4" s="8" t="inlineStr">
        <is>
          <t>Month</t>
        </is>
      </c>
      <c r="B4" s="8" t="inlineStr">
        <is>
          <t>Free base</t>
        </is>
      </c>
      <c r="C4" s="8" t="inlineStr">
        <is>
          <t>Pro custs</t>
        </is>
      </c>
      <c r="D4" s="8" t="inlineStr">
        <is>
          <t>Business custs</t>
        </is>
      </c>
      <c r="E4" s="8" t="inlineStr">
        <is>
          <t>Enterprise custs</t>
        </is>
      </c>
      <c r="F4" s="8" t="inlineStr">
        <is>
          <t>MRR (€)</t>
        </is>
      </c>
      <c r="G4" s="8" t="inlineStr">
        <is>
          <t>ARR (€)</t>
        </is>
      </c>
      <c r="H4" s="8" t="inlineStr">
        <is>
          <t>Revenue (€)</t>
        </is>
      </c>
      <c r="I4" s="8" t="inlineStr">
        <is>
          <t>COGS (€)</t>
        </is>
      </c>
      <c r="J4" s="8" t="inlineStr">
        <is>
          <t>Gross profit (€)</t>
        </is>
      </c>
      <c r="K4" s="8" t="inlineStr">
        <is>
          <t>OpEx (€)</t>
        </is>
      </c>
      <c r="L4" s="8" t="inlineStr">
        <is>
          <t>Net (€)</t>
        </is>
      </c>
      <c r="M4" s="8" t="inlineStr">
        <is>
          <t>Cum. cash (€)</t>
        </is>
      </c>
    </row>
    <row r="5">
      <c r="A5" s="9" t="n">
        <v>1</v>
      </c>
      <c r="B5" s="10">
        <f>Assumptions!B11</f>
        <v/>
      </c>
      <c r="C5" s="10">
        <f>Assumptions!B14</f>
        <v/>
      </c>
      <c r="D5" s="10" t="n">
        <v>0</v>
      </c>
      <c r="E5" s="10" t="n">
        <v>0</v>
      </c>
      <c r="F5" s="11">
        <f>C5*Assumptions!B6+D5*Assumptions!B7+E5*Assumptions!B8</f>
        <v/>
      </c>
      <c r="G5" s="11">
        <f>F5*12</f>
        <v/>
      </c>
      <c r="H5" s="11">
        <f>F5</f>
        <v/>
      </c>
      <c r="I5" s="11">
        <f>H5*Assumptions!B25</f>
        <v/>
      </c>
      <c r="J5" s="11">
        <f>H5-I5</f>
        <v/>
      </c>
      <c r="K5" s="11">
        <f>Assumptions!B26+Assumptions!B27+Assumptions!B28</f>
        <v/>
      </c>
      <c r="L5" s="11">
        <f>J5-K5</f>
        <v/>
      </c>
      <c r="M5" s="11">
        <f>L5</f>
        <v/>
      </c>
    </row>
    <row r="6">
      <c r="A6" s="9" t="n">
        <v>2</v>
      </c>
      <c r="B6" s="10">
        <f>B5*(1+Assumptions!B12)+Assumptions!B11*(1+Assumptions!B12)^1-B5*Assumptions!B13</f>
        <v/>
      </c>
      <c r="C6" s="10">
        <f>C5*(1-Assumptions!B18-Assumptions!B22)+Assumptions!B14+B5*Assumptions!B13</f>
        <v/>
      </c>
      <c r="D6" s="10" t="n">
        <v>0</v>
      </c>
      <c r="E6" s="10" t="n">
        <v>0</v>
      </c>
      <c r="F6" s="11">
        <f>C6*Assumptions!B6+D6*Assumptions!B7+E6*Assumptions!B8</f>
        <v/>
      </c>
      <c r="G6" s="11">
        <f>F6*12</f>
        <v/>
      </c>
      <c r="H6" s="11">
        <f>F6</f>
        <v/>
      </c>
      <c r="I6" s="11">
        <f>H6*Assumptions!B25</f>
        <v/>
      </c>
      <c r="J6" s="11">
        <f>H6-I6</f>
        <v/>
      </c>
      <c r="K6" s="11">
        <f>Assumptions!B26+Assumptions!B27+Assumptions!B28</f>
        <v/>
      </c>
      <c r="L6" s="11">
        <f>J6-K6</f>
        <v/>
      </c>
      <c r="M6" s="11">
        <f>M5+L6</f>
        <v/>
      </c>
    </row>
    <row r="7">
      <c r="A7" s="9" t="n">
        <v>3</v>
      </c>
      <c r="B7" s="10">
        <f>B6*(1+Assumptions!B12)+Assumptions!B11*(1+Assumptions!B12)^2-B6*Assumptions!B13</f>
        <v/>
      </c>
      <c r="C7" s="10">
        <f>C6*(1-Assumptions!B18-Assumptions!B22)+Assumptions!B14+B6*Assumptions!B13</f>
        <v/>
      </c>
      <c r="D7" s="10" t="n">
        <v>0</v>
      </c>
      <c r="E7" s="10" t="n">
        <v>0</v>
      </c>
      <c r="F7" s="11">
        <f>C7*Assumptions!B6+D7*Assumptions!B7+E7*Assumptions!B8</f>
        <v/>
      </c>
      <c r="G7" s="11">
        <f>F7*12</f>
        <v/>
      </c>
      <c r="H7" s="11">
        <f>F7</f>
        <v/>
      </c>
      <c r="I7" s="11">
        <f>H7*Assumptions!B25</f>
        <v/>
      </c>
      <c r="J7" s="11">
        <f>H7-I7</f>
        <v/>
      </c>
      <c r="K7" s="11">
        <f>Assumptions!B26+Assumptions!B27+Assumptions!B28</f>
        <v/>
      </c>
      <c r="L7" s="11">
        <f>J7-K7</f>
        <v/>
      </c>
      <c r="M7" s="11">
        <f>M6+L7</f>
        <v/>
      </c>
    </row>
    <row r="8">
      <c r="A8" s="9" t="n">
        <v>4</v>
      </c>
      <c r="B8" s="10">
        <f>B7*(1+Assumptions!B12)+Assumptions!B11*(1+Assumptions!B12)^3-B7*Assumptions!B13</f>
        <v/>
      </c>
      <c r="C8" s="10">
        <f>C7*(1-Assumptions!B18-Assumptions!B22)+Assumptions!B14+B7*Assumptions!B13</f>
        <v/>
      </c>
      <c r="D8" s="10">
        <f>Assumptions!B15+C7*Assumptions!B22</f>
        <v/>
      </c>
      <c r="E8" s="10" t="n">
        <v>0</v>
      </c>
      <c r="F8" s="11">
        <f>C8*Assumptions!B6+D8*Assumptions!B7+E8*Assumptions!B8</f>
        <v/>
      </c>
      <c r="G8" s="11">
        <f>F8*12</f>
        <v/>
      </c>
      <c r="H8" s="11">
        <f>F8</f>
        <v/>
      </c>
      <c r="I8" s="11">
        <f>H8*Assumptions!B25</f>
        <v/>
      </c>
      <c r="J8" s="11">
        <f>H8-I8</f>
        <v/>
      </c>
      <c r="K8" s="11">
        <f>Assumptions!B26+Assumptions!B27+Assumptions!B28</f>
        <v/>
      </c>
      <c r="L8" s="11">
        <f>J8-K8</f>
        <v/>
      </c>
      <c r="M8" s="11">
        <f>M7+L8</f>
        <v/>
      </c>
    </row>
    <row r="9">
      <c r="A9" s="9" t="n">
        <v>5</v>
      </c>
      <c r="B9" s="10">
        <f>B8*(1+Assumptions!B12)+Assumptions!B11*(1+Assumptions!B12)^4-B8*Assumptions!B13</f>
        <v/>
      </c>
      <c r="C9" s="10">
        <f>C8*(1-Assumptions!B18-Assumptions!B22)+Assumptions!B14+B8*Assumptions!B13</f>
        <v/>
      </c>
      <c r="D9" s="10">
        <f>D8*(1-Assumptions!B19-Assumptions!B23)+Assumptions!B15+C8*Assumptions!B22</f>
        <v/>
      </c>
      <c r="E9" s="10" t="n">
        <v>0</v>
      </c>
      <c r="F9" s="11">
        <f>C9*Assumptions!B6+D9*Assumptions!B7+E9*Assumptions!B8</f>
        <v/>
      </c>
      <c r="G9" s="11">
        <f>F9*12</f>
        <v/>
      </c>
      <c r="H9" s="11">
        <f>F9</f>
        <v/>
      </c>
      <c r="I9" s="11">
        <f>H9*Assumptions!B25</f>
        <v/>
      </c>
      <c r="J9" s="11">
        <f>H9-I9</f>
        <v/>
      </c>
      <c r="K9" s="11">
        <f>Assumptions!B26+Assumptions!B27+Assumptions!B28</f>
        <v/>
      </c>
      <c r="L9" s="11">
        <f>J9-K9</f>
        <v/>
      </c>
      <c r="M9" s="11">
        <f>M8+L9</f>
        <v/>
      </c>
    </row>
    <row r="10">
      <c r="A10" s="9" t="n">
        <v>6</v>
      </c>
      <c r="B10" s="10">
        <f>B9*(1+Assumptions!B12)+Assumptions!B11*(1+Assumptions!B12)^5-B9*Assumptions!B13</f>
        <v/>
      </c>
      <c r="C10" s="10">
        <f>C9*(1-Assumptions!B18-Assumptions!B22)+Assumptions!B14+B9*Assumptions!B13</f>
        <v/>
      </c>
      <c r="D10" s="10">
        <f>D9*(1-Assumptions!B19-Assumptions!B23)+Assumptions!B15+C9*Assumptions!B22</f>
        <v/>
      </c>
      <c r="E10" s="10">
        <f>Assumptions!B16+D9*Assumptions!B23</f>
        <v/>
      </c>
      <c r="F10" s="11">
        <f>C10*Assumptions!B6+D10*Assumptions!B7+E10*Assumptions!B8</f>
        <v/>
      </c>
      <c r="G10" s="11">
        <f>F10*12</f>
        <v/>
      </c>
      <c r="H10" s="11">
        <f>F10</f>
        <v/>
      </c>
      <c r="I10" s="11">
        <f>H10*Assumptions!B25</f>
        <v/>
      </c>
      <c r="J10" s="11">
        <f>H10-I10</f>
        <v/>
      </c>
      <c r="K10" s="11">
        <f>Assumptions!B26+Assumptions!B27+Assumptions!B28</f>
        <v/>
      </c>
      <c r="L10" s="11">
        <f>J10-K10</f>
        <v/>
      </c>
      <c r="M10" s="11">
        <f>M9+L10</f>
        <v/>
      </c>
    </row>
    <row r="11">
      <c r="A11" s="9" t="n">
        <v>7</v>
      </c>
      <c r="B11" s="10">
        <f>B10*(1+Assumptions!B12)+Assumptions!B11*(1+Assumptions!B12)^6-B10*Assumptions!B13</f>
        <v/>
      </c>
      <c r="C11" s="10">
        <f>C10*(1-Assumptions!B18-Assumptions!B22)+Assumptions!B14+B10*Assumptions!B13</f>
        <v/>
      </c>
      <c r="D11" s="10">
        <f>D10*(1-Assumptions!B19-Assumptions!B23)+Assumptions!B15+C10*Assumptions!B22</f>
        <v/>
      </c>
      <c r="E11" s="10">
        <f>E10*(1-Assumptions!B20)+Assumptions!B16+D10*Assumptions!B23</f>
        <v/>
      </c>
      <c r="F11" s="11">
        <f>C11*Assumptions!B6+D11*Assumptions!B7+E11*Assumptions!B8</f>
        <v/>
      </c>
      <c r="G11" s="11">
        <f>F11*12</f>
        <v/>
      </c>
      <c r="H11" s="11">
        <f>F11</f>
        <v/>
      </c>
      <c r="I11" s="11">
        <f>H11*Assumptions!B25</f>
        <v/>
      </c>
      <c r="J11" s="11">
        <f>H11-I11</f>
        <v/>
      </c>
      <c r="K11" s="11">
        <f>Assumptions!B26+Assumptions!B27+Assumptions!B28</f>
        <v/>
      </c>
      <c r="L11" s="11">
        <f>J11-K11</f>
        <v/>
      </c>
      <c r="M11" s="11">
        <f>M10+L11</f>
        <v/>
      </c>
    </row>
    <row r="12">
      <c r="A12" s="9" t="n">
        <v>8</v>
      </c>
      <c r="B12" s="10">
        <f>B11*(1+Assumptions!B12)+Assumptions!B11*(1+Assumptions!B12)^7-B11*Assumptions!B13</f>
        <v/>
      </c>
      <c r="C12" s="10">
        <f>C11*(1-Assumptions!B18-Assumptions!B22)+Assumptions!B14+B11*Assumptions!B13</f>
        <v/>
      </c>
      <c r="D12" s="10">
        <f>D11*(1-Assumptions!B19-Assumptions!B23)+Assumptions!B15+C11*Assumptions!B22</f>
        <v/>
      </c>
      <c r="E12" s="10">
        <f>E11*(1-Assumptions!B20)+Assumptions!B16+D11*Assumptions!B23</f>
        <v/>
      </c>
      <c r="F12" s="11">
        <f>C12*Assumptions!B6+D12*Assumptions!B7+E12*Assumptions!B8</f>
        <v/>
      </c>
      <c r="G12" s="11">
        <f>F12*12</f>
        <v/>
      </c>
      <c r="H12" s="11">
        <f>F12</f>
        <v/>
      </c>
      <c r="I12" s="11">
        <f>H12*Assumptions!B25</f>
        <v/>
      </c>
      <c r="J12" s="11">
        <f>H12-I12</f>
        <v/>
      </c>
      <c r="K12" s="11">
        <f>Assumptions!B26+Assumptions!B27+Assumptions!B28</f>
        <v/>
      </c>
      <c r="L12" s="11">
        <f>J12-K12</f>
        <v/>
      </c>
      <c r="M12" s="11">
        <f>M11+L12</f>
        <v/>
      </c>
    </row>
    <row r="13">
      <c r="A13" s="9" t="n">
        <v>9</v>
      </c>
      <c r="B13" s="10">
        <f>B12*(1+Assumptions!B12)+Assumptions!B11*(1+Assumptions!B12)^8-B12*Assumptions!B13</f>
        <v/>
      </c>
      <c r="C13" s="10">
        <f>C12*(1-Assumptions!B18-Assumptions!B22)+Assumptions!B14+B12*Assumptions!B13</f>
        <v/>
      </c>
      <c r="D13" s="10">
        <f>D12*(1-Assumptions!B19-Assumptions!B23)+Assumptions!B15+C12*Assumptions!B22</f>
        <v/>
      </c>
      <c r="E13" s="10">
        <f>E12*(1-Assumptions!B20)+Assumptions!B16+D12*Assumptions!B23</f>
        <v/>
      </c>
      <c r="F13" s="11">
        <f>C13*Assumptions!B6+D13*Assumptions!B7+E13*Assumptions!B8</f>
        <v/>
      </c>
      <c r="G13" s="11">
        <f>F13*12</f>
        <v/>
      </c>
      <c r="H13" s="11">
        <f>F13</f>
        <v/>
      </c>
      <c r="I13" s="11">
        <f>H13*Assumptions!B25</f>
        <v/>
      </c>
      <c r="J13" s="11">
        <f>H13-I13</f>
        <v/>
      </c>
      <c r="K13" s="11">
        <f>Assumptions!B26+Assumptions!B27+Assumptions!B28</f>
        <v/>
      </c>
      <c r="L13" s="11">
        <f>J13-K13</f>
        <v/>
      </c>
      <c r="M13" s="11">
        <f>M12+L13</f>
        <v/>
      </c>
    </row>
    <row r="14">
      <c r="A14" s="9" t="n">
        <v>10</v>
      </c>
      <c r="B14" s="10">
        <f>B13*(1+Assumptions!B12)+Assumptions!B11*(1+Assumptions!B12)^9-B13*Assumptions!B13</f>
        <v/>
      </c>
      <c r="C14" s="10">
        <f>C13*(1-Assumptions!B18-Assumptions!B22)+Assumptions!B14+B13*Assumptions!B13</f>
        <v/>
      </c>
      <c r="D14" s="10">
        <f>D13*(1-Assumptions!B19-Assumptions!B23)+Assumptions!B15+C13*Assumptions!B22</f>
        <v/>
      </c>
      <c r="E14" s="10">
        <f>E13*(1-Assumptions!B20)+Assumptions!B16+D13*Assumptions!B23</f>
        <v/>
      </c>
      <c r="F14" s="11">
        <f>C14*Assumptions!B6+D14*Assumptions!B7+E14*Assumptions!B8</f>
        <v/>
      </c>
      <c r="G14" s="11">
        <f>F14*12</f>
        <v/>
      </c>
      <c r="H14" s="11">
        <f>F14</f>
        <v/>
      </c>
      <c r="I14" s="11">
        <f>H14*Assumptions!B25</f>
        <v/>
      </c>
      <c r="J14" s="11">
        <f>H14-I14</f>
        <v/>
      </c>
      <c r="K14" s="11">
        <f>Assumptions!B26+Assumptions!B27+Assumptions!B28</f>
        <v/>
      </c>
      <c r="L14" s="11">
        <f>J14-K14</f>
        <v/>
      </c>
      <c r="M14" s="11">
        <f>M13+L14</f>
        <v/>
      </c>
    </row>
    <row r="15">
      <c r="A15" s="9" t="n">
        <v>11</v>
      </c>
      <c r="B15" s="10">
        <f>B14*(1+Assumptions!B12)+Assumptions!B11*(1+Assumptions!B12)^10-B14*Assumptions!B13</f>
        <v/>
      </c>
      <c r="C15" s="10">
        <f>C14*(1-Assumptions!B18-Assumptions!B22)+Assumptions!B14+B14*Assumptions!B13</f>
        <v/>
      </c>
      <c r="D15" s="10">
        <f>D14*(1-Assumptions!B19-Assumptions!B23)+Assumptions!B15+C14*Assumptions!B22</f>
        <v/>
      </c>
      <c r="E15" s="10">
        <f>E14*(1-Assumptions!B20)+Assumptions!B16+D14*Assumptions!B23</f>
        <v/>
      </c>
      <c r="F15" s="11">
        <f>C15*Assumptions!B6+D15*Assumptions!B7+E15*Assumptions!B8</f>
        <v/>
      </c>
      <c r="G15" s="11">
        <f>F15*12</f>
        <v/>
      </c>
      <c r="H15" s="11">
        <f>F15</f>
        <v/>
      </c>
      <c r="I15" s="11">
        <f>H15*Assumptions!B25</f>
        <v/>
      </c>
      <c r="J15" s="11">
        <f>H15-I15</f>
        <v/>
      </c>
      <c r="K15" s="11">
        <f>Assumptions!B26+Assumptions!B27+Assumptions!B28</f>
        <v/>
      </c>
      <c r="L15" s="11">
        <f>J15-K15</f>
        <v/>
      </c>
      <c r="M15" s="11">
        <f>M14+L15</f>
        <v/>
      </c>
    </row>
    <row r="16">
      <c r="A16" s="12" t="n">
        <v>12</v>
      </c>
      <c r="B16" s="13">
        <f>B15*(1+Assumptions!B12)+Assumptions!B11*(1+Assumptions!B12)^11-B15*Assumptions!B13</f>
        <v/>
      </c>
      <c r="C16" s="13">
        <f>C15*(1-Assumptions!B18-Assumptions!B22)+Assumptions!B14+B15*Assumptions!B13</f>
        <v/>
      </c>
      <c r="D16" s="13">
        <f>D15*(1-Assumptions!B19-Assumptions!B23)+Assumptions!B15+C15*Assumptions!B22</f>
        <v/>
      </c>
      <c r="E16" s="13">
        <f>E15*(1-Assumptions!B20)+Assumptions!B16+D15*Assumptions!B23</f>
        <v/>
      </c>
      <c r="F16" s="14">
        <f>C16*Assumptions!B6+D16*Assumptions!B7+E16*Assumptions!B8</f>
        <v/>
      </c>
      <c r="G16" s="14">
        <f>F16*12</f>
        <v/>
      </c>
      <c r="H16" s="14">
        <f>F16</f>
        <v/>
      </c>
      <c r="I16" s="14">
        <f>H16*Assumptions!B25</f>
        <v/>
      </c>
      <c r="J16" s="14">
        <f>H16-I16</f>
        <v/>
      </c>
      <c r="K16" s="14">
        <f>Assumptions!B26+Assumptions!B27+Assumptions!B28</f>
        <v/>
      </c>
      <c r="L16" s="14">
        <f>J16-K16</f>
        <v/>
      </c>
      <c r="M16" s="14">
        <f>M15+L16</f>
        <v/>
      </c>
    </row>
    <row r="17">
      <c r="A17" s="9" t="n">
        <v>13</v>
      </c>
      <c r="B17" s="10">
        <f>B16*(1+Assumptions!B12)+Assumptions!B11*(1+Assumptions!B12)^12-B16*Assumptions!B13</f>
        <v/>
      </c>
      <c r="C17" s="10">
        <f>C16*(1-Assumptions!B18-Assumptions!B22)+Assumptions!B14+B16*Assumptions!B13</f>
        <v/>
      </c>
      <c r="D17" s="10">
        <f>D16*(1-Assumptions!B19-Assumptions!B23)+Assumptions!B15+C16*Assumptions!B22</f>
        <v/>
      </c>
      <c r="E17" s="10">
        <f>E16*(1-Assumptions!B20)+Assumptions!B16+D16*Assumptions!B23</f>
        <v/>
      </c>
      <c r="F17" s="11">
        <f>C17*Assumptions!B6+D17*Assumptions!B7+E17*Assumptions!B8</f>
        <v/>
      </c>
      <c r="G17" s="11">
        <f>F17*12</f>
        <v/>
      </c>
      <c r="H17" s="11">
        <f>F17</f>
        <v/>
      </c>
      <c r="I17" s="11">
        <f>H17*Assumptions!B25</f>
        <v/>
      </c>
      <c r="J17" s="11">
        <f>H17-I17</f>
        <v/>
      </c>
      <c r="K17" s="11">
        <f>Assumptions!B26+Assumptions!B27+Assumptions!B28</f>
        <v/>
      </c>
      <c r="L17" s="11">
        <f>J17-K17</f>
        <v/>
      </c>
      <c r="M17" s="11">
        <f>M16+L17</f>
        <v/>
      </c>
    </row>
    <row r="18">
      <c r="A18" s="9" t="n">
        <v>14</v>
      </c>
      <c r="B18" s="10">
        <f>B17*(1+Assumptions!B12)+Assumptions!B11*(1+Assumptions!B12)^13-B17*Assumptions!B13</f>
        <v/>
      </c>
      <c r="C18" s="10">
        <f>C17*(1-Assumptions!B18-Assumptions!B22)+Assumptions!B14+B17*Assumptions!B13</f>
        <v/>
      </c>
      <c r="D18" s="10">
        <f>D17*(1-Assumptions!B19-Assumptions!B23)+Assumptions!B15+C17*Assumptions!B22</f>
        <v/>
      </c>
      <c r="E18" s="10">
        <f>E17*(1-Assumptions!B20)+Assumptions!B16+D17*Assumptions!B23</f>
        <v/>
      </c>
      <c r="F18" s="11">
        <f>C18*Assumptions!B6+D18*Assumptions!B7+E18*Assumptions!B8</f>
        <v/>
      </c>
      <c r="G18" s="11">
        <f>F18*12</f>
        <v/>
      </c>
      <c r="H18" s="11">
        <f>F18</f>
        <v/>
      </c>
      <c r="I18" s="11">
        <f>H18*Assumptions!B25</f>
        <v/>
      </c>
      <c r="J18" s="11">
        <f>H18-I18</f>
        <v/>
      </c>
      <c r="K18" s="11">
        <f>Assumptions!B26+Assumptions!B27+Assumptions!B28</f>
        <v/>
      </c>
      <c r="L18" s="11">
        <f>J18-K18</f>
        <v/>
      </c>
      <c r="M18" s="11">
        <f>M17+L18</f>
        <v/>
      </c>
    </row>
    <row r="19">
      <c r="A19" s="9" t="n">
        <v>15</v>
      </c>
      <c r="B19" s="10">
        <f>B18*(1+Assumptions!B12)+Assumptions!B11*(1+Assumptions!B12)^14-B18*Assumptions!B13</f>
        <v/>
      </c>
      <c r="C19" s="10">
        <f>C18*(1-Assumptions!B18-Assumptions!B22)+Assumptions!B14+B18*Assumptions!B13</f>
        <v/>
      </c>
      <c r="D19" s="10">
        <f>D18*(1-Assumptions!B19-Assumptions!B23)+Assumptions!B15+C18*Assumptions!B22</f>
        <v/>
      </c>
      <c r="E19" s="10">
        <f>E18*(1-Assumptions!B20)+Assumptions!B16+D18*Assumptions!B23</f>
        <v/>
      </c>
      <c r="F19" s="11">
        <f>C19*Assumptions!B6+D19*Assumptions!B7+E19*Assumptions!B8</f>
        <v/>
      </c>
      <c r="G19" s="11">
        <f>F19*12</f>
        <v/>
      </c>
      <c r="H19" s="11">
        <f>F19</f>
        <v/>
      </c>
      <c r="I19" s="11">
        <f>H19*Assumptions!B25</f>
        <v/>
      </c>
      <c r="J19" s="11">
        <f>H19-I19</f>
        <v/>
      </c>
      <c r="K19" s="11">
        <f>Assumptions!B26+Assumptions!B27+Assumptions!B28</f>
        <v/>
      </c>
      <c r="L19" s="11">
        <f>J19-K19</f>
        <v/>
      </c>
      <c r="M19" s="11">
        <f>M18+L19</f>
        <v/>
      </c>
    </row>
    <row r="20">
      <c r="A20" s="9" t="n">
        <v>16</v>
      </c>
      <c r="B20" s="10">
        <f>B19*(1+Assumptions!B12)+Assumptions!B11*(1+Assumptions!B12)^15-B19*Assumptions!B13</f>
        <v/>
      </c>
      <c r="C20" s="10">
        <f>C19*(1-Assumptions!B18-Assumptions!B22)+Assumptions!B14+B19*Assumptions!B13</f>
        <v/>
      </c>
      <c r="D20" s="10">
        <f>D19*(1-Assumptions!B19-Assumptions!B23)+Assumptions!B15+C19*Assumptions!B22</f>
        <v/>
      </c>
      <c r="E20" s="10">
        <f>E19*(1-Assumptions!B20)+Assumptions!B16+D19*Assumptions!B23</f>
        <v/>
      </c>
      <c r="F20" s="11">
        <f>C20*Assumptions!B6+D20*Assumptions!B7+E20*Assumptions!B8</f>
        <v/>
      </c>
      <c r="G20" s="11">
        <f>F20*12</f>
        <v/>
      </c>
      <c r="H20" s="11">
        <f>F20</f>
        <v/>
      </c>
      <c r="I20" s="11">
        <f>H20*Assumptions!B25</f>
        <v/>
      </c>
      <c r="J20" s="11">
        <f>H20-I20</f>
        <v/>
      </c>
      <c r="K20" s="11">
        <f>Assumptions!B26+Assumptions!B27+Assumptions!B28</f>
        <v/>
      </c>
      <c r="L20" s="11">
        <f>J20-K20</f>
        <v/>
      </c>
      <c r="M20" s="11">
        <f>M19+L20</f>
        <v/>
      </c>
    </row>
    <row r="21">
      <c r="A21" s="9" t="n">
        <v>17</v>
      </c>
      <c r="B21" s="10">
        <f>B20*(1+Assumptions!B12)+Assumptions!B11*(1+Assumptions!B12)^16-B20*Assumptions!B13</f>
        <v/>
      </c>
      <c r="C21" s="10">
        <f>C20*(1-Assumptions!B18-Assumptions!B22)+Assumptions!B14+B20*Assumptions!B13</f>
        <v/>
      </c>
      <c r="D21" s="10">
        <f>D20*(1-Assumptions!B19-Assumptions!B23)+Assumptions!B15+C20*Assumptions!B22</f>
        <v/>
      </c>
      <c r="E21" s="10">
        <f>E20*(1-Assumptions!B20)+Assumptions!B16+D20*Assumptions!B23</f>
        <v/>
      </c>
      <c r="F21" s="11">
        <f>C21*Assumptions!B6+D21*Assumptions!B7+E21*Assumptions!B8</f>
        <v/>
      </c>
      <c r="G21" s="11">
        <f>F21*12</f>
        <v/>
      </c>
      <c r="H21" s="11">
        <f>F21</f>
        <v/>
      </c>
      <c r="I21" s="11">
        <f>H21*Assumptions!B25</f>
        <v/>
      </c>
      <c r="J21" s="11">
        <f>H21-I21</f>
        <v/>
      </c>
      <c r="K21" s="11">
        <f>Assumptions!B26+Assumptions!B27+Assumptions!B28</f>
        <v/>
      </c>
      <c r="L21" s="11">
        <f>J21-K21</f>
        <v/>
      </c>
      <c r="M21" s="11">
        <f>M20+L21</f>
        <v/>
      </c>
    </row>
    <row r="22">
      <c r="A22" s="9" t="n">
        <v>18</v>
      </c>
      <c r="B22" s="10">
        <f>B21*(1+Assumptions!B12)+Assumptions!B11*(1+Assumptions!B12)^17-B21*Assumptions!B13</f>
        <v/>
      </c>
      <c r="C22" s="10">
        <f>C21*(1-Assumptions!B18-Assumptions!B22)+Assumptions!B14+B21*Assumptions!B13</f>
        <v/>
      </c>
      <c r="D22" s="10">
        <f>D21*(1-Assumptions!B19-Assumptions!B23)+Assumptions!B15+C21*Assumptions!B22</f>
        <v/>
      </c>
      <c r="E22" s="10">
        <f>E21*(1-Assumptions!B20)+Assumptions!B16+D21*Assumptions!B23</f>
        <v/>
      </c>
      <c r="F22" s="11">
        <f>C22*Assumptions!B6+D22*Assumptions!B7+E22*Assumptions!B8</f>
        <v/>
      </c>
      <c r="G22" s="11">
        <f>F22*12</f>
        <v/>
      </c>
      <c r="H22" s="11">
        <f>F22</f>
        <v/>
      </c>
      <c r="I22" s="11">
        <f>H22*Assumptions!B25</f>
        <v/>
      </c>
      <c r="J22" s="11">
        <f>H22-I22</f>
        <v/>
      </c>
      <c r="K22" s="11">
        <f>Assumptions!B26+Assumptions!B27+Assumptions!B28</f>
        <v/>
      </c>
      <c r="L22" s="11">
        <f>J22-K22</f>
        <v/>
      </c>
      <c r="M22" s="11">
        <f>M21+L22</f>
        <v/>
      </c>
    </row>
    <row r="23">
      <c r="A23" s="9" t="n">
        <v>19</v>
      </c>
      <c r="B23" s="10">
        <f>B22*(1+Assumptions!B12)+Assumptions!B11*(1+Assumptions!B12)^18-B22*Assumptions!B13</f>
        <v/>
      </c>
      <c r="C23" s="10">
        <f>C22*(1-Assumptions!B18-Assumptions!B22)+Assumptions!B14+B22*Assumptions!B13</f>
        <v/>
      </c>
      <c r="D23" s="10">
        <f>D22*(1-Assumptions!B19-Assumptions!B23)+Assumptions!B15+C22*Assumptions!B22</f>
        <v/>
      </c>
      <c r="E23" s="10">
        <f>E22*(1-Assumptions!B20)+Assumptions!B16+D22*Assumptions!B23</f>
        <v/>
      </c>
      <c r="F23" s="11">
        <f>C23*Assumptions!B6+D23*Assumptions!B7+E23*Assumptions!B8</f>
        <v/>
      </c>
      <c r="G23" s="11">
        <f>F23*12</f>
        <v/>
      </c>
      <c r="H23" s="11">
        <f>F23</f>
        <v/>
      </c>
      <c r="I23" s="11">
        <f>H23*Assumptions!B25</f>
        <v/>
      </c>
      <c r="J23" s="11">
        <f>H23-I23</f>
        <v/>
      </c>
      <c r="K23" s="11">
        <f>Assumptions!B26+Assumptions!B27+Assumptions!B28</f>
        <v/>
      </c>
      <c r="L23" s="11">
        <f>J23-K23</f>
        <v/>
      </c>
      <c r="M23" s="11">
        <f>M22+L23</f>
        <v/>
      </c>
    </row>
    <row r="24">
      <c r="A24" s="9" t="n">
        <v>20</v>
      </c>
      <c r="B24" s="10">
        <f>B23*(1+Assumptions!B12)+Assumptions!B11*(1+Assumptions!B12)^19-B23*Assumptions!B13</f>
        <v/>
      </c>
      <c r="C24" s="10">
        <f>C23*(1-Assumptions!B18-Assumptions!B22)+Assumptions!B14+B23*Assumptions!B13</f>
        <v/>
      </c>
      <c r="D24" s="10">
        <f>D23*(1-Assumptions!B19-Assumptions!B23)+Assumptions!B15+C23*Assumptions!B22</f>
        <v/>
      </c>
      <c r="E24" s="10">
        <f>E23*(1-Assumptions!B20)+Assumptions!B16+D23*Assumptions!B23</f>
        <v/>
      </c>
      <c r="F24" s="11">
        <f>C24*Assumptions!B6+D24*Assumptions!B7+E24*Assumptions!B8</f>
        <v/>
      </c>
      <c r="G24" s="11">
        <f>F24*12</f>
        <v/>
      </c>
      <c r="H24" s="11">
        <f>F24</f>
        <v/>
      </c>
      <c r="I24" s="11">
        <f>H24*Assumptions!B25</f>
        <v/>
      </c>
      <c r="J24" s="11">
        <f>H24-I24</f>
        <v/>
      </c>
      <c r="K24" s="11">
        <f>Assumptions!B26+Assumptions!B27+Assumptions!B28</f>
        <v/>
      </c>
      <c r="L24" s="11">
        <f>J24-K24</f>
        <v/>
      </c>
      <c r="M24" s="11">
        <f>M23+L24</f>
        <v/>
      </c>
    </row>
    <row r="25">
      <c r="A25" s="9" t="n">
        <v>21</v>
      </c>
      <c r="B25" s="10">
        <f>B24*(1+Assumptions!B12)+Assumptions!B11*(1+Assumptions!B12)^20-B24*Assumptions!B13</f>
        <v/>
      </c>
      <c r="C25" s="10">
        <f>C24*(1-Assumptions!B18-Assumptions!B22)+Assumptions!B14+B24*Assumptions!B13</f>
        <v/>
      </c>
      <c r="D25" s="10">
        <f>D24*(1-Assumptions!B19-Assumptions!B23)+Assumptions!B15+C24*Assumptions!B22</f>
        <v/>
      </c>
      <c r="E25" s="10">
        <f>E24*(1-Assumptions!B20)+Assumptions!B16+D24*Assumptions!B23</f>
        <v/>
      </c>
      <c r="F25" s="11">
        <f>C25*Assumptions!B6+D25*Assumptions!B7+E25*Assumptions!B8</f>
        <v/>
      </c>
      <c r="G25" s="11">
        <f>F25*12</f>
        <v/>
      </c>
      <c r="H25" s="11">
        <f>F25</f>
        <v/>
      </c>
      <c r="I25" s="11">
        <f>H25*Assumptions!B25</f>
        <v/>
      </c>
      <c r="J25" s="11">
        <f>H25-I25</f>
        <v/>
      </c>
      <c r="K25" s="11">
        <f>Assumptions!B26+Assumptions!B27+Assumptions!B28</f>
        <v/>
      </c>
      <c r="L25" s="11">
        <f>J25-K25</f>
        <v/>
      </c>
      <c r="M25" s="11">
        <f>M24+L25</f>
        <v/>
      </c>
    </row>
    <row r="26">
      <c r="A26" s="9" t="n">
        <v>22</v>
      </c>
      <c r="B26" s="10">
        <f>B25*(1+Assumptions!B12)+Assumptions!B11*(1+Assumptions!B12)^21-B25*Assumptions!B13</f>
        <v/>
      </c>
      <c r="C26" s="10">
        <f>C25*(1-Assumptions!B18-Assumptions!B22)+Assumptions!B14+B25*Assumptions!B13</f>
        <v/>
      </c>
      <c r="D26" s="10">
        <f>D25*(1-Assumptions!B19-Assumptions!B23)+Assumptions!B15+C25*Assumptions!B22</f>
        <v/>
      </c>
      <c r="E26" s="10">
        <f>E25*(1-Assumptions!B20)+Assumptions!B16+D25*Assumptions!B23</f>
        <v/>
      </c>
      <c r="F26" s="11">
        <f>C26*Assumptions!B6+D26*Assumptions!B7+E26*Assumptions!B8</f>
        <v/>
      </c>
      <c r="G26" s="11">
        <f>F26*12</f>
        <v/>
      </c>
      <c r="H26" s="11">
        <f>F26</f>
        <v/>
      </c>
      <c r="I26" s="11">
        <f>H26*Assumptions!B25</f>
        <v/>
      </c>
      <c r="J26" s="11">
        <f>H26-I26</f>
        <v/>
      </c>
      <c r="K26" s="11">
        <f>Assumptions!B26+Assumptions!B27+Assumptions!B28</f>
        <v/>
      </c>
      <c r="L26" s="11">
        <f>J26-K26</f>
        <v/>
      </c>
      <c r="M26" s="11">
        <f>M25+L26</f>
        <v/>
      </c>
    </row>
    <row r="27">
      <c r="A27" s="9" t="n">
        <v>23</v>
      </c>
      <c r="B27" s="10">
        <f>B26*(1+Assumptions!B12)+Assumptions!B11*(1+Assumptions!B12)^22-B26*Assumptions!B13</f>
        <v/>
      </c>
      <c r="C27" s="10">
        <f>C26*(1-Assumptions!B18-Assumptions!B22)+Assumptions!B14+B26*Assumptions!B13</f>
        <v/>
      </c>
      <c r="D27" s="10">
        <f>D26*(1-Assumptions!B19-Assumptions!B23)+Assumptions!B15+C26*Assumptions!B22</f>
        <v/>
      </c>
      <c r="E27" s="10">
        <f>E26*(1-Assumptions!B20)+Assumptions!B16+D26*Assumptions!B23</f>
        <v/>
      </c>
      <c r="F27" s="11">
        <f>C27*Assumptions!B6+D27*Assumptions!B7+E27*Assumptions!B8</f>
        <v/>
      </c>
      <c r="G27" s="11">
        <f>F27*12</f>
        <v/>
      </c>
      <c r="H27" s="11">
        <f>F27</f>
        <v/>
      </c>
      <c r="I27" s="11">
        <f>H27*Assumptions!B25</f>
        <v/>
      </c>
      <c r="J27" s="11">
        <f>H27-I27</f>
        <v/>
      </c>
      <c r="K27" s="11">
        <f>Assumptions!B26+Assumptions!B27+Assumptions!B28</f>
        <v/>
      </c>
      <c r="L27" s="11">
        <f>J27-K27</f>
        <v/>
      </c>
      <c r="M27" s="11">
        <f>M26+L27</f>
        <v/>
      </c>
    </row>
    <row r="28">
      <c r="A28" s="12" t="n">
        <v>24</v>
      </c>
      <c r="B28" s="13">
        <f>B27*(1+Assumptions!B12)+Assumptions!B11*(1+Assumptions!B12)^23-B27*Assumptions!B13</f>
        <v/>
      </c>
      <c r="C28" s="13">
        <f>C27*(1-Assumptions!B18-Assumptions!B22)+Assumptions!B14+B27*Assumptions!B13</f>
        <v/>
      </c>
      <c r="D28" s="13">
        <f>D27*(1-Assumptions!B19-Assumptions!B23)+Assumptions!B15+C27*Assumptions!B22</f>
        <v/>
      </c>
      <c r="E28" s="13">
        <f>E27*(1-Assumptions!B20)+Assumptions!B16+D27*Assumptions!B23</f>
        <v/>
      </c>
      <c r="F28" s="14">
        <f>C28*Assumptions!B6+D28*Assumptions!B7+E28*Assumptions!B8</f>
        <v/>
      </c>
      <c r="G28" s="14">
        <f>F28*12</f>
        <v/>
      </c>
      <c r="H28" s="14">
        <f>F28</f>
        <v/>
      </c>
      <c r="I28" s="14">
        <f>H28*Assumptions!B25</f>
        <v/>
      </c>
      <c r="J28" s="14">
        <f>H28-I28</f>
        <v/>
      </c>
      <c r="K28" s="14">
        <f>Assumptions!B26+Assumptions!B27+Assumptions!B28</f>
        <v/>
      </c>
      <c r="L28" s="14">
        <f>J28-K28</f>
        <v/>
      </c>
      <c r="M28" s="14">
        <f>M27+L28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Unit Economics</t>
        </is>
      </c>
    </row>
    <row r="2">
      <c r="A2" s="2" t="inlineStr">
        <is>
          <t>LTV, CAC, payback by tier</t>
        </is>
      </c>
    </row>
    <row r="4">
      <c r="A4" s="8" t="inlineStr">
        <is>
          <t>Metric</t>
        </is>
      </c>
      <c r="B4" s="8" t="inlineStr">
        <is>
          <t>Pro</t>
        </is>
      </c>
      <c r="C4" s="8" t="inlineStr">
        <is>
          <t>Business</t>
        </is>
      </c>
      <c r="D4" s="8" t="inlineStr">
        <is>
          <t>Enterprise</t>
        </is>
      </c>
    </row>
    <row r="5">
      <c r="A5" s="15" t="inlineStr">
        <is>
          <t>Price / mo ($)</t>
        </is>
      </c>
      <c r="B5" s="16" t="n">
        <v>1500</v>
      </c>
      <c r="C5" s="16" t="n">
        <v>1500</v>
      </c>
      <c r="D5" s="16" t="n">
        <v>5000</v>
      </c>
    </row>
    <row r="6">
      <c r="A6" s="15" t="inlineStr">
        <is>
          <t>Gross margin</t>
        </is>
      </c>
      <c r="B6" s="17" t="n">
        <v>0.9</v>
      </c>
      <c r="C6" s="17" t="n">
        <v>0.89</v>
      </c>
      <c r="D6" s="17" t="n">
        <v>0.88</v>
      </c>
    </row>
    <row r="7">
      <c r="A7" s="15" t="inlineStr">
        <is>
          <t>Avg lifetime (months)</t>
        </is>
      </c>
      <c r="B7" s="18" t="n">
        <v>28</v>
      </c>
      <c r="C7" s="18" t="n">
        <v>40</v>
      </c>
      <c r="D7" s="18" t="n">
        <v>48</v>
      </c>
    </row>
    <row r="8">
      <c r="A8" s="15" t="inlineStr">
        <is>
          <t>Monthly contribution (€)</t>
        </is>
      </c>
      <c r="B8" s="16">
        <f>B6*B7</f>
        <v/>
      </c>
      <c r="C8" s="16">
        <f>C6*C7</f>
        <v/>
      </c>
      <c r="D8" s="16">
        <f>D6*D7</f>
        <v/>
      </c>
    </row>
    <row r="9">
      <c r="A9" s="15" t="inlineStr">
        <is>
          <t>LTV (€)</t>
        </is>
      </c>
      <c r="B9" s="16">
        <f>B6*B7*B8</f>
        <v/>
      </c>
      <c r="C9" s="16">
        <f>C6*C7*C8</f>
        <v/>
      </c>
      <c r="D9" s="16">
        <f>D6*D7*D8</f>
        <v/>
      </c>
    </row>
    <row r="10">
      <c r="A10" s="15" t="inlineStr">
        <is>
          <t>CAC (€)</t>
        </is>
      </c>
      <c r="B10" s="16" t="n">
        <v>150</v>
      </c>
      <c r="C10" s="16" t="n">
        <v>900</v>
      </c>
      <c r="D10" s="16" t="n">
        <v>2000</v>
      </c>
    </row>
    <row r="11">
      <c r="A11" s="15" t="inlineStr">
        <is>
          <t>LTV:CAC</t>
        </is>
      </c>
      <c r="B11" s="18">
        <f>B9/B10</f>
        <v/>
      </c>
      <c r="C11" s="18">
        <f>C9/C10</f>
        <v/>
      </c>
      <c r="D11" s="18">
        <f>D9/D10</f>
        <v/>
      </c>
    </row>
    <row r="12">
      <c r="A12" s="15" t="inlineStr">
        <is>
          <t>CAC payback (months)</t>
        </is>
      </c>
      <c r="B12" s="18">
        <f>B10/B9*B8</f>
        <v/>
      </c>
      <c r="C12" s="18">
        <f>C10/C9*C8</f>
        <v/>
      </c>
      <c r="D12" s="18">
        <f>D10/D9*D8</f>
        <v/>
      </c>
    </row>
    <row r="14">
      <c r="A14" s="2" t="inlineStr">
        <is>
          <t>Rule of thumb: LTV:CAC &gt; 3 healthy, &gt; 5 excellent. Payback &lt; 12 mo healthy.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Scenario Summary</t>
        </is>
      </c>
    </row>
    <row r="2">
      <c r="A2" s="2" t="inlineStr">
        <is>
          <t>Manually adjust drivers on Assumptions and record Month-24 ARR here.</t>
        </is>
      </c>
    </row>
    <row r="4">
      <c r="A4" s="8" t="inlineStr">
        <is>
          <t>Scenario</t>
        </is>
      </c>
      <c r="B4" s="8" t="inlineStr">
        <is>
          <t>Month-12 ARR (€)</t>
        </is>
      </c>
      <c r="C4" s="8" t="inlineStr">
        <is>
          <t>Month-24 ARR (€)</t>
        </is>
      </c>
      <c r="D4" s="8" t="inlineStr">
        <is>
          <t>Comment</t>
        </is>
      </c>
    </row>
    <row r="5">
      <c r="A5" s="15" t="inlineStr">
        <is>
          <t>Conservative</t>
        </is>
      </c>
      <c r="B5" s="3" t="inlineStr"/>
      <c r="C5" s="3" t="inlineStr"/>
      <c r="D5" s="3" t="inlineStr">
        <is>
          <t>lower conversion/growth</t>
        </is>
      </c>
    </row>
    <row r="6">
      <c r="A6" s="15" t="inlineStr">
        <is>
          <t>Base (current drivers)</t>
        </is>
      </c>
      <c r="B6" s="16">
        <f>'24-Month Projection'!G16</f>
        <v/>
      </c>
      <c r="C6" s="16">
        <f>'24-Month Projection'!G28</f>
        <v/>
      </c>
      <c r="D6" s="3" t="inlineStr">
        <is>
          <t>drivers as set</t>
        </is>
      </c>
    </row>
    <row r="7">
      <c r="A7" s="15" t="inlineStr">
        <is>
          <t>Aggressive</t>
        </is>
      </c>
      <c r="B7" s="3" t="inlineStr"/>
      <c r="C7" s="3" t="inlineStr"/>
      <c r="D7" s="3" t="inlineStr">
        <is>
          <t>higher outbound + 1 ent/mo</t>
        </is>
      </c>
    </row>
    <row r="9">
      <c r="A9" s="2" t="inlineStr">
        <is>
          <t>Break-even ≈ 34 Pro OR 9 Business OR ~1 Enterprise (vs ~€3,800 fixed/mo).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2026-06-06T21:18:55Z</dcterms:created>
  <dcterms:modified xmlns:dcterms="http://purl.org/dc/terms/" xmlns:xsi="http://www.w3.org/2001/XMLSchema-instance" xsi:type="dcterms:W3CDTF">2026-06-06T21:18:55Z</dcterms:modified>
</cp:coreProperties>
</file>