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Prospects" sheetId="3" state="visible" r:id="rId3"/>
    <sheet xmlns:r="http://schemas.openxmlformats.org/officeDocument/2006/relationships" name="Pip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6">
    <font>
      <name val="Calibri"/>
      <family val="2"/>
      <color theme="1"/>
      <sz val="11"/>
      <scheme val="minor"/>
    </font>
    <font>
      <b val="1"/>
      <color rgb="007C6EFF"/>
      <sz val="16"/>
    </font>
    <font>
      <i val="1"/>
      <color rgb="006B7280"/>
      <sz val="9"/>
    </font>
    <font>
      <b val="1"/>
    </font>
    <font>
      <b val="1"/>
      <color rgb="00FFFFFF"/>
    </font>
    <font>
      <b val="1"/>
      <color rgb="0010B981"/>
    </font>
  </fonts>
  <fills count="5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7C6EFF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4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0" fontId="0" fillId="2" borderId="0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Verispect — 15-Day Sprint War Room</t>
        </is>
      </c>
    </row>
    <row r="2">
      <c r="A2" s="2" t="inlineStr">
        <is>
          <t>Goal: 10 sales floor · 15 target · 20 stretch. Update daily.</t>
        </is>
      </c>
    </row>
    <row r="4">
      <c r="A4" s="3" t="inlineStr">
        <is>
          <t>FUNNEL MATH (to 15 closes)</t>
        </is>
      </c>
    </row>
    <row r="5">
      <c r="A5" s="4" t="inlineStr">
        <is>
          <t>Stage</t>
        </is>
      </c>
      <c r="B5" s="4" t="inlineStr">
        <is>
          <t>Conv → next</t>
        </is>
      </c>
      <c r="C5" s="4" t="inlineStr">
        <is>
          <t>Needed</t>
        </is>
      </c>
    </row>
    <row r="6">
      <c r="A6" s="5" t="inlineStr">
        <is>
          <t>Personalized touches</t>
        </is>
      </c>
      <c r="B6" s="6" t="inlineStr">
        <is>
          <t>7% reply</t>
        </is>
      </c>
      <c r="C6" s="7" t="n">
        <v>1500</v>
      </c>
    </row>
    <row r="7">
      <c r="A7" s="5" t="inlineStr">
        <is>
          <t>Replies</t>
        </is>
      </c>
      <c r="B7" s="6" t="inlineStr">
        <is>
          <t>40% snapshot</t>
        </is>
      </c>
      <c r="C7" s="7" t="n">
        <v>110</v>
      </c>
    </row>
    <row r="8">
      <c r="A8" s="5" t="inlineStr">
        <is>
          <t>Snapshots run</t>
        </is>
      </c>
      <c r="B8" s="6" t="inlineStr">
        <is>
          <t>35% demo</t>
        </is>
      </c>
      <c r="C8" s="7" t="n">
        <v>123</v>
      </c>
    </row>
    <row r="9">
      <c r="A9" s="5" t="inlineStr">
        <is>
          <t>Demos / setup calls</t>
        </is>
      </c>
      <c r="B9" s="6" t="inlineStr">
        <is>
          <t>35% close</t>
        </is>
      </c>
      <c r="C9" s="7" t="n">
        <v>43</v>
      </c>
    </row>
    <row r="10">
      <c r="A10" s="5" t="inlineStr">
        <is>
          <t>CLOSES</t>
        </is>
      </c>
      <c r="B10" s="6" t="inlineStr">
        <is>
          <t>—</t>
        </is>
      </c>
      <c r="C10" s="7" t="n">
        <v>15</v>
      </c>
    </row>
    <row r="11">
      <c r="A11" s="8" t="n"/>
    </row>
    <row r="13">
      <c r="A13" s="3" t="inlineStr">
        <is>
          <t>DAILY TARGETS</t>
        </is>
      </c>
    </row>
    <row r="14">
      <c r="A14" s="5" t="inlineStr">
        <is>
          <t>Touches/day</t>
        </is>
      </c>
      <c r="B14" s="7" t="n">
        <v>100</v>
      </c>
    </row>
    <row r="15">
      <c r="A15" s="5" t="inlineStr">
        <is>
          <t>Snapshots/day</t>
        </is>
      </c>
      <c r="B15" s="7" t="n">
        <v>8</v>
      </c>
    </row>
    <row r="16">
      <c r="A16" s="5" t="inlineStr">
        <is>
          <t>Demos/day</t>
        </is>
      </c>
      <c r="B16" s="7" t="n">
        <v>3</v>
      </c>
    </row>
    <row r="17">
      <c r="A17" s="5" t="inlineStr">
        <is>
          <t>Closes/day</t>
        </is>
      </c>
      <c r="B17" s="7" t="n">
        <v>1</v>
      </c>
    </row>
    <row r="19">
      <c r="A19" s="3" t="inlineStr">
        <is>
          <t>LIVE SCOREBOARD (pulls from Daily Log)</t>
        </is>
      </c>
    </row>
    <row r="20">
      <c r="A20" s="5" t="inlineStr">
        <is>
          <t>Total touches</t>
        </is>
      </c>
      <c r="B20" s="7">
        <f>SUM('Daily Log'!B3:B17)</f>
        <v/>
      </c>
    </row>
    <row r="21">
      <c r="A21" s="5" t="inlineStr">
        <is>
          <t>Total replies</t>
        </is>
      </c>
      <c r="B21" s="7">
        <f>SUM('Daily Log'!C3:C17)</f>
        <v/>
      </c>
    </row>
    <row r="22">
      <c r="A22" s="5" t="inlineStr">
        <is>
          <t>Total snapshots</t>
        </is>
      </c>
      <c r="B22" s="7">
        <f>SUM('Daily Log'!D3:D17)</f>
        <v/>
      </c>
    </row>
    <row r="23">
      <c r="A23" s="5" t="inlineStr">
        <is>
          <t>Total demos</t>
        </is>
      </c>
      <c r="B23" s="7">
        <f>SUM('Daily Log'!E3:E17)</f>
        <v/>
      </c>
    </row>
    <row r="24">
      <c r="A24" s="9" t="inlineStr">
        <is>
          <t>TOTAL CLOSES</t>
        </is>
      </c>
      <c r="B24" s="10">
        <f>SUM('Daily Log'!F3:F17)</f>
        <v/>
      </c>
    </row>
    <row r="25">
      <c r="A25" s="5" t="inlineStr">
        <is>
          <t>Cash banked (€)</t>
        </is>
      </c>
      <c r="B25" s="11">
        <f>SUM('Daily Log'!G3:G17)</f>
        <v/>
      </c>
    </row>
    <row r="26">
      <c r="A26" s="5" t="inlineStr">
        <is>
          <t>MRR added (€)</t>
        </is>
      </c>
      <c r="B26" s="11">
        <f>SUM('Daily Log'!H3:H17)</f>
        <v/>
      </c>
    </row>
    <row r="27">
      <c r="A27" s="5" t="inlineStr">
        <is>
          <t>Founding spots left</t>
        </is>
      </c>
      <c r="B27" s="7">
        <f>20-SUM('Daily Log'!F3:F17)</f>
        <v/>
      </c>
    </row>
    <row r="29">
      <c r="A29" s="3" t="inlineStr">
        <is>
          <t>vs GOAL</t>
        </is>
      </c>
    </row>
    <row r="30">
      <c r="A30" s="5" t="inlineStr">
        <is>
          <t>Closes vs floor (10)</t>
        </is>
      </c>
      <c r="B30" s="6">
        <f>B24&amp;" / 10"</f>
        <v/>
      </c>
    </row>
    <row r="31">
      <c r="A31" s="5" t="inlineStr">
        <is>
          <t>Closes vs target (15)</t>
        </is>
      </c>
      <c r="B31" s="6">
        <f>B24&amp;" / 15"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11" customWidth="1" min="4" max="4"/>
    <col width="8" customWidth="1" min="5" max="5"/>
    <col width="8" customWidth="1" min="6" max="6"/>
    <col width="10" customWidth="1" min="7" max="7"/>
    <col width="9" customWidth="1" min="8" max="8"/>
    <col width="40" customWidth="1" min="9" max="9"/>
  </cols>
  <sheetData>
    <row r="1">
      <c r="A1" s="1" t="inlineStr">
        <is>
          <t>Daily Log — fill end of each day</t>
        </is>
      </c>
    </row>
    <row r="2">
      <c r="A2" s="4" t="inlineStr">
        <is>
          <t>Day</t>
        </is>
      </c>
      <c r="B2" s="4" t="inlineStr">
        <is>
          <t>Touches</t>
        </is>
      </c>
      <c r="C2" s="4" t="inlineStr">
        <is>
          <t>Replies</t>
        </is>
      </c>
      <c r="D2" s="4" t="inlineStr">
        <is>
          <t>Snapshots</t>
        </is>
      </c>
      <c r="E2" s="4" t="inlineStr">
        <is>
          <t>Demos</t>
        </is>
      </c>
      <c r="F2" s="4" t="inlineStr">
        <is>
          <t>Closes</t>
        </is>
      </c>
      <c r="G2" s="4" t="inlineStr">
        <is>
          <t>Cash €</t>
        </is>
      </c>
      <c r="H2" s="4" t="inlineStr">
        <is>
          <t>MRR €</t>
        </is>
      </c>
      <c r="I2" s="4" t="inlineStr">
        <is>
          <t>Top win / blocker</t>
        </is>
      </c>
    </row>
    <row r="3">
      <c r="A3" s="6" t="n">
        <v>1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12" t="n">
        <v>0</v>
      </c>
      <c r="H3" s="12" t="n">
        <v>0</v>
      </c>
      <c r="I3" s="5" t="n"/>
    </row>
    <row r="4">
      <c r="A4" s="6" t="n">
        <v>2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12" t="n">
        <v>0</v>
      </c>
      <c r="H4" s="12" t="n">
        <v>0</v>
      </c>
      <c r="I4" s="5" t="n"/>
    </row>
    <row r="5">
      <c r="A5" s="6" t="n">
        <v>3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12" t="n">
        <v>0</v>
      </c>
      <c r="H5" s="12" t="n">
        <v>0</v>
      </c>
      <c r="I5" s="5" t="n"/>
    </row>
    <row r="6">
      <c r="A6" s="6" t="n">
        <v>4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12" t="n">
        <v>0</v>
      </c>
      <c r="H6" s="12" t="n">
        <v>0</v>
      </c>
      <c r="I6" s="5" t="n"/>
    </row>
    <row r="7">
      <c r="A7" s="6" t="n">
        <v>5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12" t="n">
        <v>0</v>
      </c>
      <c r="H7" s="12" t="n">
        <v>0</v>
      </c>
      <c r="I7" s="5" t="n"/>
    </row>
    <row r="8">
      <c r="A8" s="6" t="n">
        <v>6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12" t="n">
        <v>0</v>
      </c>
      <c r="H8" s="12" t="n">
        <v>0</v>
      </c>
      <c r="I8" s="5" t="n"/>
    </row>
    <row r="9">
      <c r="A9" s="6" t="n">
        <v>7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12" t="n">
        <v>0</v>
      </c>
      <c r="H9" s="12" t="n">
        <v>0</v>
      </c>
      <c r="I9" s="5" t="n"/>
    </row>
    <row r="10">
      <c r="A10" s="6" t="n">
        <v>8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12" t="n">
        <v>0</v>
      </c>
      <c r="H10" s="12" t="n">
        <v>0</v>
      </c>
      <c r="I10" s="5" t="n"/>
    </row>
    <row r="11">
      <c r="A11" s="6" t="n">
        <v>9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12" t="n">
        <v>0</v>
      </c>
      <c r="H11" s="12" t="n">
        <v>0</v>
      </c>
      <c r="I11" s="5" t="n"/>
    </row>
    <row r="12">
      <c r="A12" s="6" t="n">
        <v>10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12" t="n">
        <v>0</v>
      </c>
      <c r="H12" s="12" t="n">
        <v>0</v>
      </c>
      <c r="I12" s="5" t="n"/>
    </row>
    <row r="13">
      <c r="A13" s="6" t="n">
        <v>11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12" t="n">
        <v>0</v>
      </c>
      <c r="H13" s="12" t="n">
        <v>0</v>
      </c>
      <c r="I13" s="5" t="n"/>
    </row>
    <row r="14">
      <c r="A14" s="6" t="n">
        <v>12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12" t="n">
        <v>0</v>
      </c>
      <c r="H14" s="12" t="n">
        <v>0</v>
      </c>
      <c r="I14" s="5" t="n"/>
    </row>
    <row r="15">
      <c r="A15" s="6" t="n">
        <v>13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12" t="n">
        <v>0</v>
      </c>
      <c r="H15" s="12" t="n">
        <v>0</v>
      </c>
      <c r="I15" s="5" t="n"/>
    </row>
    <row r="16">
      <c r="A16" s="6" t="n">
        <v>14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12" t="n">
        <v>0</v>
      </c>
      <c r="H16" s="12" t="n">
        <v>0</v>
      </c>
      <c r="I16" s="5" t="n"/>
    </row>
    <row r="17">
      <c r="A17" s="6" t="n">
        <v>15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12" t="n">
        <v>0</v>
      </c>
      <c r="H17" s="12" t="n">
        <v>0</v>
      </c>
      <c r="I17" s="5" t="n"/>
    </row>
    <row r="18">
      <c r="A18" s="3" t="inlineStr">
        <is>
          <t>TOTAL</t>
        </is>
      </c>
      <c r="B18" s="13">
        <f>SUM(B3:B17)</f>
        <v/>
      </c>
      <c r="C18" s="13">
        <f>SUM(C3:C17)</f>
        <v/>
      </c>
      <c r="D18" s="13">
        <f>SUM(D3:D17)</f>
        <v/>
      </c>
      <c r="E18" s="13">
        <f>SUM(E3:E17)</f>
        <v/>
      </c>
      <c r="F18" s="13">
        <f>SUM(F3:F17)</f>
        <v/>
      </c>
      <c r="G18" s="14">
        <f>SUM(G3:G17)</f>
        <v/>
      </c>
      <c r="H18" s="14">
        <f>SUM(H3:H17)</f>
        <v/>
      </c>
      <c r="I18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8" customWidth="1" min="4" max="4"/>
    <col width="8" customWidth="1" min="5" max="5"/>
    <col width="14" customWidth="1" min="6" max="6"/>
    <col width="32" customWidth="1" min="7" max="7"/>
    <col width="14" customWidth="1" min="8" max="8"/>
    <col width="26" customWidth="1" min="9" max="9"/>
    <col width="14" customWidth="1" min="10" max="10"/>
    <col width="12" customWidth="1" min="11" max="11"/>
    <col width="22" customWidth="1" min="12" max="12"/>
  </cols>
  <sheetData>
    <row r="1">
      <c r="A1" s="1" t="inlineStr">
        <is>
          <t>Prospects — the list (build 300+ Day 0)</t>
        </is>
      </c>
    </row>
    <row r="2">
      <c r="A2" s="4" t="inlineStr">
        <is>
          <t>Tier</t>
        </is>
      </c>
      <c r="B2" s="4" t="inlineStr">
        <is>
          <t>Company</t>
        </is>
      </c>
      <c r="C2" s="4" t="inlineStr">
        <is>
          <t>Person</t>
        </is>
      </c>
      <c r="D2" s="4" t="inlineStr">
        <is>
          <t>Title</t>
        </is>
      </c>
      <c r="E2" s="4" t="inlineStr">
        <is>
          <t>Geo</t>
        </is>
      </c>
      <c r="F2" s="4" t="inlineStr">
        <is>
          <t>Vertical</t>
        </is>
      </c>
      <c r="G2" s="4" t="inlineStr">
        <is>
          <t>LLM use case (personalization)</t>
        </is>
      </c>
      <c r="H2" s="4" t="inlineStr">
        <is>
          <t>Source</t>
        </is>
      </c>
      <c r="I2" s="4" t="inlineStr">
        <is>
          <t>LinkedIn/Email</t>
        </is>
      </c>
      <c r="J2" s="4" t="inlineStr">
        <is>
          <t>Status</t>
        </is>
      </c>
      <c r="K2" s="4" t="inlineStr">
        <is>
          <t>Last touch</t>
        </is>
      </c>
      <c r="L2" s="4" t="inlineStr">
        <is>
          <t>Next step + date</t>
        </is>
      </c>
    </row>
    <row r="3">
      <c r="A3" s="5" t="inlineStr">
        <is>
          <t>A</t>
        </is>
      </c>
      <c r="B3" s="5" t="inlineStr">
        <is>
          <t>Empion</t>
        </is>
      </c>
      <c r="C3" s="5" t="inlineStr"/>
      <c r="D3" s="5" t="inlineStr"/>
      <c r="E3" s="5" t="inlineStr">
        <is>
          <t>Berlin DE</t>
        </is>
      </c>
      <c r="F3" s="5" t="inlineStr">
        <is>
          <t>HR-tech</t>
        </is>
      </c>
      <c r="G3" s="5" t="inlineStr">
        <is>
          <t>AI culture/skills matching for recruitment</t>
        </is>
      </c>
      <c r="H3" s="5" t="inlineStr">
        <is>
          <t>seed/WebSearch</t>
        </is>
      </c>
      <c r="I3" s="5" t="inlineStr"/>
      <c r="J3" s="5" t="inlineStr">
        <is>
          <t>Research</t>
        </is>
      </c>
      <c r="K3" s="5" t="inlineStr"/>
      <c r="L3" s="5" t="inlineStr"/>
    </row>
    <row r="4">
      <c r="A4" s="5" t="inlineStr">
        <is>
          <t>A</t>
        </is>
      </c>
      <c r="B4" s="5" t="inlineStr">
        <is>
          <t>Beamery</t>
        </is>
      </c>
      <c r="C4" s="5" t="inlineStr"/>
      <c r="D4" s="5" t="inlineStr"/>
      <c r="E4" s="5" t="inlineStr">
        <is>
          <t>London UK</t>
        </is>
      </c>
      <c r="F4" s="5" t="inlineStr">
        <is>
          <t>HR-tech</t>
        </is>
      </c>
      <c r="G4" s="5" t="inlineStr">
        <is>
          <t>AI talent matching &amp; candidate ranking</t>
        </is>
      </c>
      <c r="H4" s="5" t="inlineStr">
        <is>
          <t>seed/WebSearch</t>
        </is>
      </c>
      <c r="I4" s="5" t="inlineStr"/>
      <c r="J4" s="5" t="inlineStr">
        <is>
          <t>Research</t>
        </is>
      </c>
      <c r="K4" s="5" t="inlineStr"/>
      <c r="L4" s="5" t="inlineStr"/>
    </row>
    <row r="5">
      <c r="A5" s="5" t="inlineStr">
        <is>
          <t>A</t>
        </is>
      </c>
      <c r="B5" s="5" t="inlineStr">
        <is>
          <t>Textkernel</t>
        </is>
      </c>
      <c r="C5" s="5" t="inlineStr"/>
      <c r="D5" s="5" t="inlineStr"/>
      <c r="E5" s="5" t="inlineStr">
        <is>
          <t>Amsterdam NL</t>
        </is>
      </c>
      <c r="F5" s="5" t="inlineStr">
        <is>
          <t>HR-tech</t>
        </is>
      </c>
      <c r="G5" s="5" t="inlineStr">
        <is>
          <t>CV parsing &amp; job matching (ML/LLM)</t>
        </is>
      </c>
      <c r="H5" s="5" t="inlineStr">
        <is>
          <t>seed/WebSearch</t>
        </is>
      </c>
      <c r="I5" s="5" t="inlineStr"/>
      <c r="J5" s="5" t="inlineStr">
        <is>
          <t>Research</t>
        </is>
      </c>
      <c r="K5" s="5" t="inlineStr"/>
      <c r="L5" s="5" t="inlineStr"/>
    </row>
    <row r="6">
      <c r="A6" s="5" t="inlineStr">
        <is>
          <t>A</t>
        </is>
      </c>
      <c r="B6" s="5" t="inlineStr">
        <is>
          <t>Equalture</t>
        </is>
      </c>
      <c r="C6" s="5" t="inlineStr"/>
      <c r="D6" s="5" t="inlineStr"/>
      <c r="E6" s="5" t="inlineStr">
        <is>
          <t>Rotterdam NL</t>
        </is>
      </c>
      <c r="F6" s="5" t="inlineStr">
        <is>
          <t>HR-tech</t>
        </is>
      </c>
      <c r="G6" s="5" t="inlineStr">
        <is>
          <t>Bias-aware hiring assessments</t>
        </is>
      </c>
      <c r="H6" s="5" t="inlineStr">
        <is>
          <t>seed/WebSearch</t>
        </is>
      </c>
      <c r="I6" s="5" t="inlineStr"/>
      <c r="J6" s="5" t="inlineStr">
        <is>
          <t>Research</t>
        </is>
      </c>
      <c r="K6" s="5" t="inlineStr"/>
      <c r="L6" s="5" t="inlineStr"/>
    </row>
    <row r="7">
      <c r="A7" s="5" t="inlineStr">
        <is>
          <t>A</t>
        </is>
      </c>
      <c r="B7" s="5" t="inlineStr">
        <is>
          <t>Tengai</t>
        </is>
      </c>
      <c r="C7" s="5" t="inlineStr"/>
      <c r="D7" s="5" t="inlineStr"/>
      <c r="E7" s="5" t="inlineStr">
        <is>
          <t>Stockholm SE</t>
        </is>
      </c>
      <c r="F7" s="5" t="inlineStr">
        <is>
          <t>HR-tech</t>
        </is>
      </c>
      <c r="G7" s="5" t="inlineStr">
        <is>
          <t>Unbiased AI interview screening</t>
        </is>
      </c>
      <c r="H7" s="5" t="inlineStr">
        <is>
          <t>seed/WebSearch</t>
        </is>
      </c>
      <c r="I7" s="5" t="inlineStr"/>
      <c r="J7" s="5" t="inlineStr">
        <is>
          <t>Research</t>
        </is>
      </c>
      <c r="K7" s="5" t="inlineStr"/>
      <c r="L7" s="5" t="inlineStr"/>
    </row>
    <row r="8">
      <c r="A8" s="5" t="inlineStr">
        <is>
          <t>A</t>
        </is>
      </c>
      <c r="B8" s="5" t="inlineStr">
        <is>
          <t>Retorio</t>
        </is>
      </c>
      <c r="C8" s="5" t="inlineStr"/>
      <c r="D8" s="5" t="inlineStr"/>
      <c r="E8" s="5" t="inlineStr">
        <is>
          <t>Munich DE</t>
        </is>
      </c>
      <c r="F8" s="5" t="inlineStr">
        <is>
          <t>HR-tech</t>
        </is>
      </c>
      <c r="G8" s="5" t="inlineStr">
        <is>
          <t>AI video interview / behavioral scoring</t>
        </is>
      </c>
      <c r="H8" s="5" t="inlineStr">
        <is>
          <t>seed/WebSearch</t>
        </is>
      </c>
      <c r="I8" s="5" t="inlineStr"/>
      <c r="J8" s="5" t="inlineStr">
        <is>
          <t>Research</t>
        </is>
      </c>
      <c r="K8" s="5" t="inlineStr"/>
      <c r="L8" s="5" t="inlineStr"/>
    </row>
    <row r="9">
      <c r="A9" s="5" t="inlineStr">
        <is>
          <t>B</t>
        </is>
      </c>
      <c r="B9" s="5" t="inlineStr">
        <is>
          <t>HeroHunt.ai</t>
        </is>
      </c>
      <c r="C9" s="5" t="inlineStr"/>
      <c r="D9" s="5" t="inlineStr"/>
      <c r="E9" s="5" t="inlineStr">
        <is>
          <t>Netherlands</t>
        </is>
      </c>
      <c r="F9" s="5" t="inlineStr">
        <is>
          <t>HR-tech</t>
        </is>
      </c>
      <c r="G9" s="5" t="inlineStr">
        <is>
          <t>LLM candidate sourcing</t>
        </is>
      </c>
      <c r="H9" s="5" t="inlineStr">
        <is>
          <t>seed/WebSearch</t>
        </is>
      </c>
      <c r="I9" s="5" t="inlineStr"/>
      <c r="J9" s="5" t="inlineStr">
        <is>
          <t>Research</t>
        </is>
      </c>
      <c r="K9" s="5" t="inlineStr"/>
      <c r="L9" s="5" t="inlineStr"/>
    </row>
    <row r="10">
      <c r="A10" s="5" t="inlineStr">
        <is>
          <t>B</t>
        </is>
      </c>
      <c r="B10" s="5" t="inlineStr">
        <is>
          <t>SmartRecruiters</t>
        </is>
      </c>
      <c r="C10" s="5" t="inlineStr"/>
      <c r="D10" s="5" t="inlineStr"/>
      <c r="E10" s="5" t="inlineStr">
        <is>
          <t>EU/US</t>
        </is>
      </c>
      <c r="F10" s="5" t="inlineStr">
        <is>
          <t>HR-tech</t>
        </is>
      </c>
      <c r="G10" s="5" t="inlineStr">
        <is>
          <t>AI candidate screening in ATS</t>
        </is>
      </c>
      <c r="H10" s="5" t="inlineStr">
        <is>
          <t>seed/WebSearch</t>
        </is>
      </c>
      <c r="I10" s="5" t="inlineStr"/>
      <c r="J10" s="5" t="inlineStr">
        <is>
          <t>Research</t>
        </is>
      </c>
      <c r="K10" s="5" t="inlineStr"/>
      <c r="L10" s="5" t="inlineStr"/>
    </row>
    <row r="11">
      <c r="A11" s="5" t="inlineStr">
        <is>
          <t>B</t>
        </is>
      </c>
      <c r="B11" s="5" t="inlineStr">
        <is>
          <t>Honeypot</t>
        </is>
      </c>
      <c r="C11" s="5" t="inlineStr"/>
      <c r="D11" s="5" t="inlineStr"/>
      <c r="E11" s="5" t="inlineStr">
        <is>
          <t>Berlin DE</t>
        </is>
      </c>
      <c r="F11" s="5" t="inlineStr">
        <is>
          <t>HR-tech</t>
        </is>
      </c>
      <c r="G11" s="5" t="inlineStr">
        <is>
          <t>Dev hiring marketplace + matching</t>
        </is>
      </c>
      <c r="H11" s="5" t="inlineStr">
        <is>
          <t>seed/WebSearch</t>
        </is>
      </c>
      <c r="I11" s="5" t="inlineStr"/>
      <c r="J11" s="5" t="inlineStr">
        <is>
          <t>Research</t>
        </is>
      </c>
      <c r="K11" s="5" t="inlineStr"/>
      <c r="L11" s="5" t="inlineStr"/>
    </row>
    <row r="12">
      <c r="A12" s="5" t="inlineStr">
        <is>
          <t>B</t>
        </is>
      </c>
      <c r="B12" s="5" t="inlineStr">
        <is>
          <t>Personio</t>
        </is>
      </c>
      <c r="C12" s="5" t="inlineStr"/>
      <c r="D12" s="5" t="inlineStr"/>
      <c r="E12" s="5" t="inlineStr">
        <is>
          <t>Munich DE</t>
        </is>
      </c>
      <c r="F12" s="5" t="inlineStr">
        <is>
          <t>HR-tech</t>
        </is>
      </c>
      <c r="G12" s="5" t="inlineStr">
        <is>
          <t>HR platform adding AI features</t>
        </is>
      </c>
      <c r="H12" s="5" t="inlineStr">
        <is>
          <t>seed/WebSearch</t>
        </is>
      </c>
      <c r="I12" s="5" t="inlineStr"/>
      <c r="J12" s="5" t="inlineStr">
        <is>
          <t>Research</t>
        </is>
      </c>
      <c r="K12" s="5" t="inlineStr"/>
      <c r="L12" s="5" t="inlineStr"/>
    </row>
    <row r="13">
      <c r="A13" s="5" t="inlineStr">
        <is>
          <t>A</t>
        </is>
      </c>
      <c r="B13" s="5" t="inlineStr">
        <is>
          <t>Taktile</t>
        </is>
      </c>
      <c r="C13" s="5" t="inlineStr"/>
      <c r="D13" s="5" t="inlineStr"/>
      <c r="E13" s="5" t="inlineStr">
        <is>
          <t>Berlin DE</t>
        </is>
      </c>
      <c r="F13" s="5" t="inlineStr">
        <is>
          <t>Fintech</t>
        </is>
      </c>
      <c r="G13" s="5" t="inlineStr">
        <is>
          <t>Automated credit/risk decisioning</t>
        </is>
      </c>
      <c r="H13" s="5" t="inlineStr">
        <is>
          <t>seed/WebSearch</t>
        </is>
      </c>
      <c r="I13" s="5" t="inlineStr"/>
      <c r="J13" s="5" t="inlineStr">
        <is>
          <t>Research</t>
        </is>
      </c>
      <c r="K13" s="5" t="inlineStr"/>
      <c r="L13" s="5" t="inlineStr"/>
    </row>
    <row r="14">
      <c r="A14" s="5" t="inlineStr">
        <is>
          <t>A</t>
        </is>
      </c>
      <c r="B14" s="5" t="inlineStr">
        <is>
          <t>Abound</t>
        </is>
      </c>
      <c r="C14" s="5" t="inlineStr"/>
      <c r="D14" s="5" t="inlineStr"/>
      <c r="E14" s="5" t="inlineStr">
        <is>
          <t>London UK</t>
        </is>
      </c>
      <c r="F14" s="5" t="inlineStr">
        <is>
          <t>Fintech</t>
        </is>
      </c>
      <c r="G14" s="5" t="inlineStr">
        <is>
          <t>AI consumer credit underwriting</t>
        </is>
      </c>
      <c r="H14" s="5" t="inlineStr">
        <is>
          <t>seed/WebSearch</t>
        </is>
      </c>
      <c r="I14" s="5" t="inlineStr"/>
      <c r="J14" s="5" t="inlineStr">
        <is>
          <t>Research</t>
        </is>
      </c>
      <c r="K14" s="5" t="inlineStr"/>
      <c r="L14" s="5" t="inlineStr"/>
    </row>
    <row r="15">
      <c r="A15" s="5" t="inlineStr">
        <is>
          <t>A</t>
        </is>
      </c>
      <c r="B15" s="5" t="inlineStr">
        <is>
          <t>Lendable</t>
        </is>
      </c>
      <c r="C15" s="5" t="inlineStr"/>
      <c r="D15" s="5" t="inlineStr"/>
      <c r="E15" s="5" t="inlineStr">
        <is>
          <t>London UK</t>
        </is>
      </c>
      <c r="F15" s="5" t="inlineStr">
        <is>
          <t>Fintech</t>
        </is>
      </c>
      <c r="G15" s="5" t="inlineStr">
        <is>
          <t>ML credit/lending decisions</t>
        </is>
      </c>
      <c r="H15" s="5" t="inlineStr">
        <is>
          <t>seed/WebSearch</t>
        </is>
      </c>
      <c r="I15" s="5" t="inlineStr"/>
      <c r="J15" s="5" t="inlineStr">
        <is>
          <t>Research</t>
        </is>
      </c>
      <c r="K15" s="5" t="inlineStr"/>
      <c r="L15" s="5" t="inlineStr"/>
    </row>
    <row r="16">
      <c r="A16" s="5" t="inlineStr">
        <is>
          <t>A</t>
        </is>
      </c>
      <c r="B16" s="5" t="inlineStr">
        <is>
          <t>Kennek</t>
        </is>
      </c>
      <c r="C16" s="5" t="inlineStr"/>
      <c r="D16" s="5" t="inlineStr"/>
      <c r="E16" s="5" t="inlineStr">
        <is>
          <t>London UK</t>
        </is>
      </c>
      <c r="F16" s="5" t="inlineStr">
        <is>
          <t>Fintech</t>
        </is>
      </c>
      <c r="G16" s="5" t="inlineStr">
        <is>
          <t>Lending operations / underwriting</t>
        </is>
      </c>
      <c r="H16" s="5" t="inlineStr">
        <is>
          <t>seed/WebSearch</t>
        </is>
      </c>
      <c r="I16" s="5" t="inlineStr"/>
      <c r="J16" s="5" t="inlineStr">
        <is>
          <t>Research</t>
        </is>
      </c>
      <c r="K16" s="5" t="inlineStr"/>
      <c r="L16" s="5" t="inlineStr"/>
    </row>
    <row r="17">
      <c r="A17" s="5" t="inlineStr">
        <is>
          <t>B</t>
        </is>
      </c>
      <c r="B17" s="5" t="inlineStr">
        <is>
          <t>Solaris</t>
        </is>
      </c>
      <c r="C17" s="5" t="inlineStr"/>
      <c r="D17" s="5" t="inlineStr"/>
      <c r="E17" s="5" t="inlineStr">
        <is>
          <t>Berlin DE</t>
        </is>
      </c>
      <c r="F17" s="5" t="inlineStr">
        <is>
          <t>Fintech</t>
        </is>
      </c>
      <c r="G17" s="5" t="inlineStr">
        <is>
          <t>Banking-as-a-service + risk models</t>
        </is>
      </c>
      <c r="H17" s="5" t="inlineStr">
        <is>
          <t>seed/WebSearch</t>
        </is>
      </c>
      <c r="I17" s="5" t="inlineStr"/>
      <c r="J17" s="5" t="inlineStr">
        <is>
          <t>Research</t>
        </is>
      </c>
      <c r="K17" s="5" t="inlineStr"/>
      <c r="L17" s="5" t="inlineStr"/>
    </row>
    <row r="18">
      <c r="A18" s="5" t="inlineStr">
        <is>
          <t>B</t>
        </is>
      </c>
      <c r="B18" s="5" t="inlineStr">
        <is>
          <t>Scalable Capital</t>
        </is>
      </c>
      <c r="C18" s="5" t="inlineStr"/>
      <c r="D18" s="5" t="inlineStr"/>
      <c r="E18" s="5" t="inlineStr">
        <is>
          <t>Munich DE</t>
        </is>
      </c>
      <c r="F18" s="5" t="inlineStr">
        <is>
          <t>Fintech</t>
        </is>
      </c>
      <c r="G18" s="5" t="inlineStr">
        <is>
          <t>Robo-advisory / risk profiling</t>
        </is>
      </c>
      <c r="H18" s="5" t="inlineStr">
        <is>
          <t>seed/WebSearch</t>
        </is>
      </c>
      <c r="I18" s="5" t="inlineStr"/>
      <c r="J18" s="5" t="inlineStr">
        <is>
          <t>Research</t>
        </is>
      </c>
      <c r="K18" s="5" t="inlineStr"/>
      <c r="L18" s="5" t="inlineStr"/>
    </row>
    <row r="19">
      <c r="A19" s="5" t="inlineStr">
        <is>
          <t>A</t>
        </is>
      </c>
      <c r="B19" s="5" t="inlineStr">
        <is>
          <t>Akur8</t>
        </is>
      </c>
      <c r="C19" s="5" t="inlineStr"/>
      <c r="D19" s="5" t="inlineStr"/>
      <c r="E19" s="5" t="inlineStr">
        <is>
          <t>Paris FR</t>
        </is>
      </c>
      <c r="F19" s="5" t="inlineStr">
        <is>
          <t>Insurtech</t>
        </is>
      </c>
      <c r="G19" s="5" t="inlineStr">
        <is>
          <t>ML insurance pricing/underwriting</t>
        </is>
      </c>
      <c r="H19" s="5" t="inlineStr">
        <is>
          <t>seed/WebSearch</t>
        </is>
      </c>
      <c r="I19" s="5" t="inlineStr"/>
      <c r="J19" s="5" t="inlineStr">
        <is>
          <t>Research</t>
        </is>
      </c>
      <c r="K19" s="5" t="inlineStr"/>
      <c r="L19" s="5" t="inlineStr"/>
    </row>
    <row r="20">
      <c r="A20" s="5" t="inlineStr">
        <is>
          <t>A</t>
        </is>
      </c>
      <c r="B20" s="5" t="inlineStr">
        <is>
          <t>Shift Technology</t>
        </is>
      </c>
      <c r="C20" s="5" t="inlineStr"/>
      <c r="D20" s="5" t="inlineStr"/>
      <c r="E20" s="5" t="inlineStr">
        <is>
          <t>Paris FR</t>
        </is>
      </c>
      <c r="F20" s="5" t="inlineStr">
        <is>
          <t>Insurtech</t>
        </is>
      </c>
      <c r="G20" s="5" t="inlineStr">
        <is>
          <t>AI claims &amp; fraud decisioning</t>
        </is>
      </c>
      <c r="H20" s="5" t="inlineStr">
        <is>
          <t>seed/WebSearch</t>
        </is>
      </c>
      <c r="I20" s="5" t="inlineStr"/>
      <c r="J20" s="5" t="inlineStr">
        <is>
          <t>Research</t>
        </is>
      </c>
      <c r="K20" s="5" t="inlineStr"/>
      <c r="L20" s="5" t="inlineStr"/>
    </row>
    <row r="21">
      <c r="A21" s="5" t="inlineStr">
        <is>
          <t>B</t>
        </is>
      </c>
      <c r="B21" s="5" t="inlineStr">
        <is>
          <t>wefox</t>
        </is>
      </c>
      <c r="C21" s="5" t="inlineStr"/>
      <c r="D21" s="5" t="inlineStr"/>
      <c r="E21" s="5" t="inlineStr">
        <is>
          <t>Berlin DE</t>
        </is>
      </c>
      <c r="F21" s="5" t="inlineStr">
        <is>
          <t>Insurtech</t>
        </is>
      </c>
      <c r="G21" s="5" t="inlineStr">
        <is>
          <t>AI claims/underwriting assist</t>
        </is>
      </c>
      <c r="H21" s="5" t="inlineStr">
        <is>
          <t>seed/WebSearch</t>
        </is>
      </c>
      <c r="I21" s="5" t="inlineStr"/>
      <c r="J21" s="5" t="inlineStr">
        <is>
          <t>Research</t>
        </is>
      </c>
      <c r="K21" s="5" t="inlineStr"/>
      <c r="L21" s="5" t="inlineStr"/>
    </row>
    <row r="22">
      <c r="A22" s="5" t="inlineStr">
        <is>
          <t>B</t>
        </is>
      </c>
      <c r="B22" s="5" t="inlineStr">
        <is>
          <t>Getsafe</t>
        </is>
      </c>
      <c r="C22" s="5" t="inlineStr"/>
      <c r="D22" s="5" t="inlineStr"/>
      <c r="E22" s="5" t="inlineStr">
        <is>
          <t>Heidelberg DE</t>
        </is>
      </c>
      <c r="F22" s="5" t="inlineStr">
        <is>
          <t>Insurtech</t>
        </is>
      </c>
      <c r="G22" s="5" t="inlineStr">
        <is>
          <t>AI claims automation</t>
        </is>
      </c>
      <c r="H22" s="5" t="inlineStr">
        <is>
          <t>seed/WebSearch</t>
        </is>
      </c>
      <c r="I22" s="5" t="inlineStr"/>
      <c r="J22" s="5" t="inlineStr">
        <is>
          <t>Research</t>
        </is>
      </c>
      <c r="K22" s="5" t="inlineStr"/>
      <c r="L22" s="5" t="inlineStr"/>
    </row>
    <row r="23">
      <c r="A23" s="5" t="inlineStr">
        <is>
          <t>B</t>
        </is>
      </c>
      <c r="B23" s="5" t="inlineStr">
        <is>
          <t>Zego</t>
        </is>
      </c>
      <c r="C23" s="5" t="inlineStr"/>
      <c r="D23" s="5" t="inlineStr"/>
      <c r="E23" s="5" t="inlineStr">
        <is>
          <t>London UK</t>
        </is>
      </c>
      <c r="F23" s="5" t="inlineStr">
        <is>
          <t>Insurtech</t>
        </is>
      </c>
      <c r="G23" s="5" t="inlineStr">
        <is>
          <t>Usage-based pricing ML</t>
        </is>
      </c>
      <c r="H23" s="5" t="inlineStr">
        <is>
          <t>seed/WebSearch</t>
        </is>
      </c>
      <c r="I23" s="5" t="inlineStr"/>
      <c r="J23" s="5" t="inlineStr">
        <is>
          <t>Research</t>
        </is>
      </c>
      <c r="K23" s="5" t="inlineStr"/>
      <c r="L23" s="5" t="inlineStr"/>
    </row>
    <row r="24">
      <c r="A24" s="5" t="inlineStr">
        <is>
          <t>A</t>
        </is>
      </c>
      <c r="B24" s="5" t="inlineStr">
        <is>
          <t>Robin AI</t>
        </is>
      </c>
      <c r="C24" s="5" t="inlineStr"/>
      <c r="D24" s="5" t="inlineStr"/>
      <c r="E24" s="5" t="inlineStr">
        <is>
          <t>London UK</t>
        </is>
      </c>
      <c r="F24" s="5" t="inlineStr">
        <is>
          <t>Legal-tech</t>
        </is>
      </c>
      <c r="G24" s="5" t="inlineStr">
        <is>
          <t>LLM contract review &amp; risk</t>
        </is>
      </c>
      <c r="H24" s="5" t="inlineStr">
        <is>
          <t>seed/WebSearch</t>
        </is>
      </c>
      <c r="I24" s="5" t="inlineStr"/>
      <c r="J24" s="5" t="inlineStr">
        <is>
          <t>Research</t>
        </is>
      </c>
      <c r="K24" s="5" t="inlineStr"/>
      <c r="L24" s="5" t="inlineStr"/>
    </row>
    <row r="25">
      <c r="A25" s="5" t="inlineStr">
        <is>
          <t>A</t>
        </is>
      </c>
      <c r="B25" s="5" t="inlineStr">
        <is>
          <t>Leya</t>
        </is>
      </c>
      <c r="C25" s="5" t="inlineStr"/>
      <c r="D25" s="5" t="inlineStr"/>
      <c r="E25" s="5" t="inlineStr">
        <is>
          <t>Stockholm SE</t>
        </is>
      </c>
      <c r="F25" s="5" t="inlineStr">
        <is>
          <t>Legal-tech</t>
        </is>
      </c>
      <c r="G25" s="5" t="inlineStr">
        <is>
          <t>LLM legal research/review</t>
        </is>
      </c>
      <c r="H25" s="5" t="inlineStr">
        <is>
          <t>seed/WebSearch</t>
        </is>
      </c>
      <c r="I25" s="5" t="inlineStr"/>
      <c r="J25" s="5" t="inlineStr">
        <is>
          <t>Research</t>
        </is>
      </c>
      <c r="K25" s="5" t="inlineStr"/>
      <c r="L25" s="5" t="inlineStr"/>
    </row>
    <row r="26">
      <c r="A26" s="5" t="inlineStr">
        <is>
          <t>A</t>
        </is>
      </c>
      <c r="B26" s="5" t="inlineStr">
        <is>
          <t>Luminance</t>
        </is>
      </c>
      <c r="C26" s="5" t="inlineStr"/>
      <c r="D26" s="5" t="inlineStr"/>
      <c r="E26" s="5" t="inlineStr">
        <is>
          <t>Cambridge UK</t>
        </is>
      </c>
      <c r="F26" s="5" t="inlineStr">
        <is>
          <t>Legal-tech</t>
        </is>
      </c>
      <c r="G26" s="5" t="inlineStr">
        <is>
          <t>AI contract analysis</t>
        </is>
      </c>
      <c r="H26" s="5" t="inlineStr">
        <is>
          <t>seed/WebSearch</t>
        </is>
      </c>
      <c r="I26" s="5" t="inlineStr"/>
      <c r="J26" s="5" t="inlineStr">
        <is>
          <t>Research</t>
        </is>
      </c>
      <c r="K26" s="5" t="inlineStr"/>
      <c r="L26" s="5" t="inlineStr"/>
    </row>
    <row r="27">
      <c r="A27" s="5" t="inlineStr">
        <is>
          <t>B</t>
        </is>
      </c>
      <c r="B27" s="5" t="inlineStr">
        <is>
          <t>Genie AI</t>
        </is>
      </c>
      <c r="C27" s="5" t="inlineStr"/>
      <c r="D27" s="5" t="inlineStr"/>
      <c r="E27" s="5" t="inlineStr">
        <is>
          <t>London UK</t>
        </is>
      </c>
      <c r="F27" s="5" t="inlineStr">
        <is>
          <t>Legal-tech</t>
        </is>
      </c>
      <c r="G27" s="5" t="inlineStr">
        <is>
          <t>LLM legal drafting/review</t>
        </is>
      </c>
      <c r="H27" s="5" t="inlineStr">
        <is>
          <t>seed/WebSearch</t>
        </is>
      </c>
      <c r="I27" s="5" t="inlineStr"/>
      <c r="J27" s="5" t="inlineStr">
        <is>
          <t>Research</t>
        </is>
      </c>
      <c r="K27" s="5" t="inlineStr"/>
      <c r="L27" s="5" t="inlineStr"/>
    </row>
    <row r="28">
      <c r="A28" s="5" t="inlineStr">
        <is>
          <t>B</t>
        </is>
      </c>
      <c r="B28" s="5" t="inlineStr">
        <is>
          <t>Juro</t>
        </is>
      </c>
      <c r="C28" s="5" t="inlineStr"/>
      <c r="D28" s="5" t="inlineStr"/>
      <c r="E28" s="5" t="inlineStr">
        <is>
          <t>London UK</t>
        </is>
      </c>
      <c r="F28" s="5" t="inlineStr">
        <is>
          <t>Legal-tech</t>
        </is>
      </c>
      <c r="G28" s="5" t="inlineStr">
        <is>
          <t>Contract automation + AI</t>
        </is>
      </c>
      <c r="H28" s="5" t="inlineStr">
        <is>
          <t>seed/WebSearch</t>
        </is>
      </c>
      <c r="I28" s="5" t="inlineStr"/>
      <c r="J28" s="5" t="inlineStr">
        <is>
          <t>Research</t>
        </is>
      </c>
      <c r="K28" s="5" t="inlineStr"/>
      <c r="L28" s="5" t="inlineStr"/>
    </row>
    <row r="29">
      <c r="A29" s="5" t="inlineStr">
        <is>
          <t>B</t>
        </is>
      </c>
      <c r="B29" s="5" t="inlineStr">
        <is>
          <t>Definely</t>
        </is>
      </c>
      <c r="C29" s="5" t="inlineStr"/>
      <c r="D29" s="5" t="inlineStr"/>
      <c r="E29" s="5" t="inlineStr">
        <is>
          <t>London UK</t>
        </is>
      </c>
      <c r="F29" s="5" t="inlineStr">
        <is>
          <t>Legal-tech</t>
        </is>
      </c>
      <c r="G29" s="5" t="inlineStr">
        <is>
          <t>Contract drafting AI</t>
        </is>
      </c>
      <c r="H29" s="5" t="inlineStr">
        <is>
          <t>seed/WebSearch</t>
        </is>
      </c>
      <c r="I29" s="5" t="inlineStr"/>
      <c r="J29" s="5" t="inlineStr">
        <is>
          <t>Research</t>
        </is>
      </c>
      <c r="K29" s="5" t="inlineStr"/>
      <c r="L29" s="5" t="inlineStr"/>
    </row>
    <row r="30">
      <c r="A30" s="5" t="inlineStr">
        <is>
          <t>A</t>
        </is>
      </c>
      <c r="B30" s="5" t="inlineStr">
        <is>
          <t>Bayzat</t>
        </is>
      </c>
      <c r="C30" s="5" t="inlineStr"/>
      <c r="D30" s="5" t="inlineStr"/>
      <c r="E30" s="5" t="inlineStr">
        <is>
          <t>Dubai UAE</t>
        </is>
      </c>
      <c r="F30" s="5" t="inlineStr">
        <is>
          <t>HR-tech</t>
        </is>
      </c>
      <c r="G30" s="5" t="inlineStr">
        <is>
          <t>HR &amp; payroll + AI features</t>
        </is>
      </c>
      <c r="H30" s="5" t="inlineStr">
        <is>
          <t>seed/WebSearch</t>
        </is>
      </c>
      <c r="I30" s="5" t="inlineStr"/>
      <c r="J30" s="5" t="inlineStr">
        <is>
          <t>Research</t>
        </is>
      </c>
      <c r="K30" s="5" t="inlineStr"/>
      <c r="L30" s="5" t="inlineStr"/>
    </row>
    <row r="31">
      <c r="A31" s="5" t="inlineStr">
        <is>
          <t>A</t>
        </is>
      </c>
      <c r="B31" s="5" t="inlineStr">
        <is>
          <t>ADVANCE.AI</t>
        </is>
      </c>
      <c r="C31" s="5" t="inlineStr"/>
      <c r="D31" s="5" t="inlineStr"/>
      <c r="E31" s="5" t="inlineStr">
        <is>
          <t>Singapore</t>
        </is>
      </c>
      <c r="F31" s="5" t="inlineStr">
        <is>
          <t>Fintech</t>
        </is>
      </c>
      <c r="G31" s="5" t="inlineStr">
        <is>
          <t>AI KYC + credit scoring (APAC)</t>
        </is>
      </c>
      <c r="H31" s="5" t="inlineStr">
        <is>
          <t>seed/WebSearch</t>
        </is>
      </c>
      <c r="I31" s="5" t="inlineStr"/>
      <c r="J31" s="5" t="inlineStr">
        <is>
          <t>Research</t>
        </is>
      </c>
      <c r="K31" s="5" t="inlineStr"/>
      <c r="L31" s="5" t="inlineStr"/>
    </row>
    <row r="32">
      <c r="A32" s="5" t="inlineStr">
        <is>
          <t>B</t>
        </is>
      </c>
      <c r="B32" s="5" t="inlineStr">
        <is>
          <t>Kredivo / FinAccel</t>
        </is>
      </c>
      <c r="C32" s="5" t="inlineStr"/>
      <c r="D32" s="5" t="inlineStr"/>
      <c r="E32" s="5" t="inlineStr">
        <is>
          <t>Singapore</t>
        </is>
      </c>
      <c r="F32" s="5" t="inlineStr">
        <is>
          <t>Fintech</t>
        </is>
      </c>
      <c r="G32" s="5" t="inlineStr">
        <is>
          <t>AI consumer credit (SEA)</t>
        </is>
      </c>
      <c r="H32" s="5" t="inlineStr">
        <is>
          <t>seed/WebSearch</t>
        </is>
      </c>
      <c r="I32" s="5" t="inlineStr"/>
      <c r="J32" s="5" t="inlineStr">
        <is>
          <t>Research</t>
        </is>
      </c>
      <c r="K32" s="5" t="inlineStr"/>
      <c r="L32" s="5" t="inlineStr"/>
    </row>
    <row r="33">
      <c r="A33" s="5" t="inlineStr">
        <is>
          <t>B</t>
        </is>
      </c>
      <c r="B33" s="5" t="inlineStr">
        <is>
          <t>Lenddo</t>
        </is>
      </c>
      <c r="C33" s="5" t="inlineStr"/>
      <c r="D33" s="5" t="inlineStr"/>
      <c r="E33" s="5" t="inlineStr">
        <is>
          <t>Singapore</t>
        </is>
      </c>
      <c r="F33" s="5" t="inlineStr">
        <is>
          <t>Fintech</t>
        </is>
      </c>
      <c r="G33" s="5" t="inlineStr">
        <is>
          <t>Alt-data credit scoring</t>
        </is>
      </c>
      <c r="H33" s="5" t="inlineStr">
        <is>
          <t>seed/WebSearch</t>
        </is>
      </c>
      <c r="I33" s="5" t="inlineStr"/>
      <c r="J33" s="5" t="inlineStr">
        <is>
          <t>Research</t>
        </is>
      </c>
      <c r="K33" s="5" t="inlineStr"/>
      <c r="L33" s="5" t="inlineStr"/>
    </row>
    <row r="34">
      <c r="A34" s="5" t="inlineStr">
        <is>
          <t>B</t>
        </is>
      </c>
      <c r="B34" s="5" t="inlineStr">
        <is>
          <t>G42</t>
        </is>
      </c>
      <c r="C34" s="5" t="inlineStr"/>
      <c r="D34" s="5" t="inlineStr"/>
      <c r="E34" s="5" t="inlineStr">
        <is>
          <t>Abu Dhabi UAE</t>
        </is>
      </c>
      <c r="F34" s="5" t="inlineStr">
        <is>
          <t>AI/Enterprise</t>
        </is>
      </c>
      <c r="G34" s="5" t="inlineStr">
        <is>
          <t>Enterprise AI incl regulated use</t>
        </is>
      </c>
      <c r="H34" s="5" t="inlineStr">
        <is>
          <t>seed/WebSearch</t>
        </is>
      </c>
      <c r="I34" s="5" t="inlineStr"/>
      <c r="J34" s="5" t="inlineStr">
        <is>
          <t>Research</t>
        </is>
      </c>
      <c r="K34" s="5" t="inlineStr"/>
      <c r="L34" s="5" t="inlineStr"/>
    </row>
    <row r="35">
      <c r="A35" s="5" t="inlineStr">
        <is>
          <t>B</t>
        </is>
      </c>
      <c r="B35" s="5" t="inlineStr">
        <is>
          <t>Sava</t>
        </is>
      </c>
      <c r="C35" s="5" t="inlineStr"/>
      <c r="D35" s="5" t="inlineStr"/>
      <c r="E35" s="5" t="inlineStr">
        <is>
          <t>Dubai UAE</t>
        </is>
      </c>
      <c r="F35" s="5" t="inlineStr">
        <is>
          <t>Fintech</t>
        </is>
      </c>
      <c r="G35" s="5" t="inlineStr">
        <is>
          <t>SME spend/credit AI</t>
        </is>
      </c>
      <c r="H35" s="5" t="inlineStr">
        <is>
          <t>seed/WebSearch</t>
        </is>
      </c>
      <c r="I35" s="5" t="inlineStr"/>
      <c r="J35" s="5" t="inlineStr">
        <is>
          <t>Research</t>
        </is>
      </c>
      <c r="K35" s="5" t="inlineStr"/>
      <c r="L35" s="5" t="inlineStr"/>
    </row>
    <row r="36">
      <c r="A36" s="5" t="inlineStr">
        <is>
          <t>C</t>
        </is>
      </c>
      <c r="B36" s="5" t="inlineStr">
        <is>
          <t>Tractable</t>
        </is>
      </c>
      <c r="C36" s="5" t="inlineStr"/>
      <c r="D36" s="5" t="inlineStr"/>
      <c r="E36" s="5" t="inlineStr">
        <is>
          <t>London UK</t>
        </is>
      </c>
      <c r="F36" s="5" t="inlineStr">
        <is>
          <t>Insurtech</t>
        </is>
      </c>
      <c r="G36" s="5" t="inlineStr">
        <is>
          <t>AI visual claims assessment</t>
        </is>
      </c>
      <c r="H36" s="5" t="inlineStr">
        <is>
          <t>seed/WebSearch</t>
        </is>
      </c>
      <c r="I36" s="5" t="inlineStr"/>
      <c r="J36" s="5" t="inlineStr">
        <is>
          <t>Research</t>
        </is>
      </c>
      <c r="K36" s="5" t="inlineStr"/>
      <c r="L36" s="5" t="inlineStr"/>
    </row>
    <row r="37">
      <c r="A37" s="5" t="inlineStr">
        <is>
          <t>C</t>
        </is>
      </c>
      <c r="B37" s="5" t="inlineStr">
        <is>
          <t>HireVue</t>
        </is>
      </c>
      <c r="C37" s="5" t="inlineStr"/>
      <c r="D37" s="5" t="inlineStr"/>
      <c r="E37" s="5" t="inlineStr">
        <is>
          <t>US/EU</t>
        </is>
      </c>
      <c r="F37" s="5" t="inlineStr">
        <is>
          <t>HR-tech</t>
        </is>
      </c>
      <c r="G37" s="5" t="inlineStr">
        <is>
          <t>AI video interview assessment</t>
        </is>
      </c>
      <c r="H37" s="5" t="inlineStr">
        <is>
          <t>seed/WebSearch</t>
        </is>
      </c>
      <c r="I37" s="5" t="inlineStr"/>
      <c r="J37" s="5" t="inlineStr">
        <is>
          <t>Research</t>
        </is>
      </c>
      <c r="K37" s="5" t="inlineStr"/>
      <c r="L37" s="5" t="inlineStr"/>
    </row>
    <row r="38">
      <c r="A38" s="5" t="inlineStr">
        <is>
          <t>C</t>
        </is>
      </c>
      <c r="B38" s="5" t="inlineStr">
        <is>
          <t>Personio/others</t>
        </is>
      </c>
      <c r="C38" s="5" t="inlineStr"/>
      <c r="D38" s="5" t="inlineStr"/>
      <c r="E38" s="5" t="inlineStr">
        <is>
          <t>DACH</t>
        </is>
      </c>
      <c r="F38" s="5" t="inlineStr">
        <is>
          <t>HR-tech</t>
        </is>
      </c>
      <c r="G38" s="5" t="inlineStr">
        <is>
          <t>—</t>
        </is>
      </c>
      <c r="H38" s="5" t="inlineStr">
        <is>
          <t>seed/WebSearch</t>
        </is>
      </c>
      <c r="I38" s="5" t="inlineStr"/>
      <c r="J38" s="5" t="inlineStr">
        <is>
          <t>Research</t>
        </is>
      </c>
      <c r="K38" s="5" t="inlineStr"/>
      <c r="L38" s="5" t="inlineStr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2">
      <c r="A42" s="2" t="inlineStr">
        <is>
          <t>Status values: New · Touched · Replied · Snapshot · Demo · WON · Lost · Nurture</t>
        </is>
      </c>
    </row>
    <row r="43">
      <c r="A43" s="2" t="inlineStr">
        <is>
          <t>Tier A = high-risk vertical + recent raise + EU (hit first). B = good fit. C = backup/Tier-2.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8" customWidth="1" min="4" max="4"/>
    <col width="11" customWidth="1" min="5" max="5"/>
    <col width="12" customWidth="1" min="6" max="6"/>
    <col width="12" customWidth="1" min="7" max="7"/>
    <col width="26" customWidth="1" min="8" max="8"/>
    <col width="12" customWidth="1" min="9" max="9"/>
  </cols>
  <sheetData>
    <row r="1">
      <c r="A1" s="1" t="inlineStr">
        <is>
          <t>Pipeline — active deals</t>
        </is>
      </c>
    </row>
    <row r="2">
      <c r="A2" s="4" t="inlineStr">
        <is>
          <t>Company</t>
        </is>
      </c>
      <c r="B2" s="4" t="inlineStr">
        <is>
          <t>Contact</t>
        </is>
      </c>
      <c r="C2" s="4" t="inlineStr">
        <is>
          <t>Stage</t>
        </is>
      </c>
      <c r="D2" s="4" t="inlineStr">
        <is>
          <t>Plan (annual/monthly)</t>
        </is>
      </c>
      <c r="E2" s="4" t="inlineStr">
        <is>
          <t>Value €</t>
        </is>
      </c>
      <c r="F2" s="4" t="inlineStr">
        <is>
          <t>Close prob %</t>
        </is>
      </c>
      <c r="G2" s="4" t="inlineStr">
        <is>
          <t>Weighted €</t>
        </is>
      </c>
      <c r="H2" s="4" t="inlineStr">
        <is>
          <t>Next step</t>
        </is>
      </c>
      <c r="I2" s="4" t="inlineStr">
        <is>
          <t>Date</t>
        </is>
      </c>
    </row>
    <row r="3">
      <c r="A3" s="5" t="n"/>
      <c r="B3" s="5" t="n"/>
      <c r="C3" s="5" t="n"/>
      <c r="D3" s="5" t="n"/>
      <c r="E3" s="16" t="n"/>
      <c r="F3" s="5" t="n"/>
      <c r="G3" s="16">
        <f>IF(AND(E3&lt;&gt;"",F3&lt;&gt;""),E3*F3/100,"")</f>
        <v/>
      </c>
      <c r="H3" s="5" t="n"/>
      <c r="I3" s="5" t="n"/>
    </row>
    <row r="4">
      <c r="A4" s="5" t="n"/>
      <c r="B4" s="5" t="n"/>
      <c r="C4" s="5" t="n"/>
      <c r="D4" s="5" t="n"/>
      <c r="E4" s="16" t="n"/>
      <c r="F4" s="5" t="n"/>
      <c r="G4" s="16">
        <f>IF(AND(E4&lt;&gt;"",F4&lt;&gt;""),E4*F4/100,"")</f>
        <v/>
      </c>
      <c r="H4" s="5" t="n"/>
      <c r="I4" s="5" t="n"/>
    </row>
    <row r="5">
      <c r="A5" s="5" t="n"/>
      <c r="B5" s="5" t="n"/>
      <c r="C5" s="5" t="n"/>
      <c r="D5" s="5" t="n"/>
      <c r="E5" s="16" t="n"/>
      <c r="F5" s="5" t="n"/>
      <c r="G5" s="16">
        <f>IF(AND(E5&lt;&gt;"",F5&lt;&gt;""),E5*F5/100,"")</f>
        <v/>
      </c>
      <c r="H5" s="5" t="n"/>
      <c r="I5" s="5" t="n"/>
    </row>
    <row r="6">
      <c r="A6" s="5" t="n"/>
      <c r="B6" s="5" t="n"/>
      <c r="C6" s="5" t="n"/>
      <c r="D6" s="5" t="n"/>
      <c r="E6" s="16" t="n"/>
      <c r="F6" s="5" t="n"/>
      <c r="G6" s="16">
        <f>IF(AND(E6&lt;&gt;"",F6&lt;&gt;""),E6*F6/100,"")</f>
        <v/>
      </c>
      <c r="H6" s="5" t="n"/>
      <c r="I6" s="5" t="n"/>
    </row>
    <row r="7">
      <c r="A7" s="5" t="n"/>
      <c r="B7" s="5" t="n"/>
      <c r="C7" s="5" t="n"/>
      <c r="D7" s="5" t="n"/>
      <c r="E7" s="16" t="n"/>
      <c r="F7" s="5" t="n"/>
      <c r="G7" s="16">
        <f>IF(AND(E7&lt;&gt;"",F7&lt;&gt;""),E7*F7/100,"")</f>
        <v/>
      </c>
      <c r="H7" s="5" t="n"/>
      <c r="I7" s="5" t="n"/>
    </row>
    <row r="8">
      <c r="A8" s="5" t="n"/>
      <c r="B8" s="5" t="n"/>
      <c r="C8" s="5" t="n"/>
      <c r="D8" s="5" t="n"/>
      <c r="E8" s="16" t="n"/>
      <c r="F8" s="5" t="n"/>
      <c r="G8" s="16">
        <f>IF(AND(E8&lt;&gt;"",F8&lt;&gt;""),E8*F8/100,"")</f>
        <v/>
      </c>
      <c r="H8" s="5" t="n"/>
      <c r="I8" s="5" t="n"/>
    </row>
    <row r="9">
      <c r="A9" s="5" t="n"/>
      <c r="B9" s="5" t="n"/>
      <c r="C9" s="5" t="n"/>
      <c r="D9" s="5" t="n"/>
      <c r="E9" s="16" t="n"/>
      <c r="F9" s="5" t="n"/>
      <c r="G9" s="16">
        <f>IF(AND(E9&lt;&gt;"",F9&lt;&gt;""),E9*F9/100,"")</f>
        <v/>
      </c>
      <c r="H9" s="5" t="n"/>
      <c r="I9" s="5" t="n"/>
    </row>
    <row r="10">
      <c r="A10" s="5" t="n"/>
      <c r="B10" s="5" t="n"/>
      <c r="C10" s="5" t="n"/>
      <c r="D10" s="5" t="n"/>
      <c r="E10" s="16" t="n"/>
      <c r="F10" s="5" t="n"/>
      <c r="G10" s="16">
        <f>IF(AND(E10&lt;&gt;"",F10&lt;&gt;""),E10*F10/100,"")</f>
        <v/>
      </c>
      <c r="H10" s="5" t="n"/>
      <c r="I10" s="5" t="n"/>
    </row>
    <row r="11">
      <c r="A11" s="5" t="n"/>
      <c r="B11" s="5" t="n"/>
      <c r="C11" s="5" t="n"/>
      <c r="D11" s="5" t="n"/>
      <c r="E11" s="16" t="n"/>
      <c r="F11" s="5" t="n"/>
      <c r="G11" s="16">
        <f>IF(AND(E11&lt;&gt;"",F11&lt;&gt;""),E11*F11/100,"")</f>
        <v/>
      </c>
      <c r="H11" s="5" t="n"/>
      <c r="I11" s="5" t="n"/>
    </row>
    <row r="12">
      <c r="A12" s="5" t="n"/>
      <c r="B12" s="5" t="n"/>
      <c r="C12" s="5" t="n"/>
      <c r="D12" s="5" t="n"/>
      <c r="E12" s="16" t="n"/>
      <c r="F12" s="5" t="n"/>
      <c r="G12" s="16">
        <f>IF(AND(E12&lt;&gt;"",F12&lt;&gt;""),E12*F12/100,"")</f>
        <v/>
      </c>
      <c r="H12" s="5" t="n"/>
      <c r="I12" s="5" t="n"/>
    </row>
    <row r="13">
      <c r="A13" s="5" t="n"/>
      <c r="B13" s="5" t="n"/>
      <c r="C13" s="5" t="n"/>
      <c r="D13" s="5" t="n"/>
      <c r="E13" s="16" t="n"/>
      <c r="F13" s="5" t="n"/>
      <c r="G13" s="16">
        <f>IF(AND(E13&lt;&gt;"",F13&lt;&gt;""),E13*F13/100,"")</f>
        <v/>
      </c>
      <c r="H13" s="5" t="n"/>
      <c r="I13" s="5" t="n"/>
    </row>
    <row r="14">
      <c r="A14" s="5" t="n"/>
      <c r="B14" s="5" t="n"/>
      <c r="C14" s="5" t="n"/>
      <c r="D14" s="5" t="n"/>
      <c r="E14" s="16" t="n"/>
      <c r="F14" s="5" t="n"/>
      <c r="G14" s="16">
        <f>IF(AND(E14&lt;&gt;"",F14&lt;&gt;""),E14*F14/100,"")</f>
        <v/>
      </c>
      <c r="H14" s="5" t="n"/>
      <c r="I14" s="5" t="n"/>
    </row>
    <row r="15">
      <c r="A15" s="5" t="n"/>
      <c r="B15" s="5" t="n"/>
      <c r="C15" s="5" t="n"/>
      <c r="D15" s="5" t="n"/>
      <c r="E15" s="16" t="n"/>
      <c r="F15" s="5" t="n"/>
      <c r="G15" s="16">
        <f>IF(AND(E15&lt;&gt;"",F15&lt;&gt;""),E15*F15/100,"")</f>
        <v/>
      </c>
      <c r="H15" s="5" t="n"/>
      <c r="I15" s="5" t="n"/>
    </row>
    <row r="16">
      <c r="A16" s="5" t="n"/>
      <c r="B16" s="5" t="n"/>
      <c r="C16" s="5" t="n"/>
      <c r="D16" s="5" t="n"/>
      <c r="E16" s="16" t="n"/>
      <c r="F16" s="5" t="n"/>
      <c r="G16" s="16">
        <f>IF(AND(E16&lt;&gt;"",F16&lt;&gt;""),E16*F16/100,"")</f>
        <v/>
      </c>
      <c r="H16" s="5" t="n"/>
      <c r="I16" s="5" t="n"/>
    </row>
    <row r="17">
      <c r="A17" s="5" t="n"/>
      <c r="B17" s="5" t="n"/>
      <c r="C17" s="5" t="n"/>
      <c r="D17" s="5" t="n"/>
      <c r="E17" s="16" t="n"/>
      <c r="F17" s="5" t="n"/>
      <c r="G17" s="16">
        <f>IF(AND(E17&lt;&gt;"",F17&lt;&gt;""),E17*F17/100,"")</f>
        <v/>
      </c>
      <c r="H17" s="5" t="n"/>
      <c r="I17" s="5" t="n"/>
    </row>
    <row r="18">
      <c r="A18" s="5" t="n"/>
      <c r="B18" s="5" t="n"/>
      <c r="C18" s="5" t="n"/>
      <c r="D18" s="5" t="n"/>
      <c r="E18" s="16" t="n"/>
      <c r="F18" s="5" t="n"/>
      <c r="G18" s="16">
        <f>IF(AND(E18&lt;&gt;"",F18&lt;&gt;""),E18*F18/100,"")</f>
        <v/>
      </c>
      <c r="H18" s="5" t="n"/>
      <c r="I18" s="5" t="n"/>
    </row>
    <row r="19">
      <c r="A19" s="5" t="n"/>
      <c r="B19" s="5" t="n"/>
      <c r="C19" s="5" t="n"/>
      <c r="D19" s="5" t="n"/>
      <c r="E19" s="16" t="n"/>
      <c r="F19" s="5" t="n"/>
      <c r="G19" s="16">
        <f>IF(AND(E19&lt;&gt;"",F19&lt;&gt;""),E19*F19/100,"")</f>
        <v/>
      </c>
      <c r="H19" s="5" t="n"/>
      <c r="I19" s="5" t="n"/>
    </row>
    <row r="20">
      <c r="A20" s="5" t="n"/>
      <c r="B20" s="5" t="n"/>
      <c r="C20" s="5" t="n"/>
      <c r="D20" s="5" t="n"/>
      <c r="E20" s="16" t="n"/>
      <c r="F20" s="5" t="n"/>
      <c r="G20" s="16">
        <f>IF(AND(E20&lt;&gt;"",F20&lt;&gt;""),E20*F20/100,"")</f>
        <v/>
      </c>
      <c r="H20" s="5" t="n"/>
      <c r="I20" s="5" t="n"/>
    </row>
    <row r="21">
      <c r="A21" s="5" t="n"/>
      <c r="B21" s="5" t="n"/>
      <c r="C21" s="5" t="n"/>
      <c r="D21" s="5" t="n"/>
      <c r="E21" s="16" t="n"/>
      <c r="F21" s="5" t="n"/>
      <c r="G21" s="16">
        <f>IF(AND(E21&lt;&gt;"",F21&lt;&gt;""),E21*F21/100,"")</f>
        <v/>
      </c>
      <c r="H21" s="5" t="n"/>
      <c r="I21" s="5" t="n"/>
    </row>
    <row r="22">
      <c r="A22" s="5" t="n"/>
      <c r="B22" s="5" t="n"/>
      <c r="C22" s="5" t="n"/>
      <c r="D22" s="5" t="n"/>
      <c r="E22" s="16" t="n"/>
      <c r="F22" s="5" t="n"/>
      <c r="G22" s="16">
        <f>IF(AND(E22&lt;&gt;"",F22&lt;&gt;""),E22*F22/100,"")</f>
        <v/>
      </c>
      <c r="H22" s="5" t="n"/>
      <c r="I22" s="5" t="n"/>
    </row>
    <row r="23">
      <c r="A23" s="5" t="n"/>
      <c r="B23" s="5" t="n"/>
      <c r="C23" s="5" t="n"/>
      <c r="D23" s="5" t="n"/>
      <c r="E23" s="16" t="n"/>
      <c r="F23" s="5" t="n"/>
      <c r="G23" s="16">
        <f>IF(AND(E23&lt;&gt;"",F23&lt;&gt;""),E23*F23/100,"")</f>
        <v/>
      </c>
      <c r="H23" s="5" t="n"/>
      <c r="I23" s="5" t="n"/>
    </row>
    <row r="24">
      <c r="A24" s="5" t="n"/>
      <c r="B24" s="5" t="n"/>
      <c r="C24" s="5" t="n"/>
      <c r="D24" s="5" t="n"/>
      <c r="E24" s="16" t="n"/>
      <c r="F24" s="5" t="n"/>
      <c r="G24" s="16">
        <f>IF(AND(E24&lt;&gt;"",F24&lt;&gt;""),E24*F24/100,"")</f>
        <v/>
      </c>
      <c r="H24" s="5" t="n"/>
      <c r="I24" s="5" t="n"/>
    </row>
    <row r="25">
      <c r="A25" s="5" t="n"/>
      <c r="B25" s="5" t="n"/>
      <c r="C25" s="5" t="n"/>
      <c r="D25" s="5" t="n"/>
      <c r="E25" s="16" t="n"/>
      <c r="F25" s="5" t="n"/>
      <c r="G25" s="16">
        <f>IF(AND(E25&lt;&gt;"",F25&lt;&gt;""),E25*F25/100,"")</f>
        <v/>
      </c>
      <c r="H25" s="5" t="n"/>
      <c r="I25" s="5" t="n"/>
    </row>
    <row r="26">
      <c r="A26" s="5" t="n"/>
      <c r="B26" s="5" t="n"/>
      <c r="C26" s="5" t="n"/>
      <c r="D26" s="5" t="n"/>
      <c r="E26" s="16" t="n"/>
      <c r="F26" s="5" t="n"/>
      <c r="G26" s="16">
        <f>IF(AND(E26&lt;&gt;"",F26&lt;&gt;""),E26*F26/100,"")</f>
        <v/>
      </c>
      <c r="H26" s="5" t="n"/>
      <c r="I26" s="5" t="n"/>
    </row>
    <row r="27">
      <c r="A27" s="5" t="n"/>
      <c r="B27" s="5" t="n"/>
      <c r="C27" s="5" t="n"/>
      <c r="D27" s="5" t="n"/>
      <c r="E27" s="16" t="n"/>
      <c r="F27" s="5" t="n"/>
      <c r="G27" s="16">
        <f>IF(AND(E27&lt;&gt;"",F27&lt;&gt;""),E27*F27/100,"")</f>
        <v/>
      </c>
      <c r="H27" s="5" t="n"/>
      <c r="I27" s="5" t="n"/>
    </row>
    <row r="28">
      <c r="A28" s="5" t="n"/>
      <c r="B28" s="5" t="n"/>
      <c r="C28" s="5" t="n"/>
      <c r="D28" s="5" t="n"/>
      <c r="E28" s="16" t="n"/>
      <c r="F28" s="5" t="n"/>
      <c r="G28" s="16">
        <f>IF(AND(E28&lt;&gt;"",F28&lt;&gt;""),E28*F28/100,"")</f>
        <v/>
      </c>
      <c r="H28" s="5" t="n"/>
      <c r="I28" s="5" t="n"/>
    </row>
    <row r="29">
      <c r="A29" s="5" t="n"/>
      <c r="B29" s="5" t="n"/>
      <c r="C29" s="5" t="n"/>
      <c r="D29" s="5" t="n"/>
      <c r="E29" s="16" t="n"/>
      <c r="F29" s="5" t="n"/>
      <c r="G29" s="16">
        <f>IF(AND(E29&lt;&gt;"",F29&lt;&gt;""),E29*F29/100,"")</f>
        <v/>
      </c>
      <c r="H29" s="5" t="n"/>
      <c r="I29" s="5" t="n"/>
    </row>
    <row r="31">
      <c r="A31" s="17" t="inlineStr">
        <is>
          <t>Weighted pipeline:</t>
        </is>
      </c>
      <c r="G31" s="18">
        <f>SUM(G3:G30)</f>
        <v/>
      </c>
    </row>
    <row r="32">
      <c r="A32" s="2" t="inlineStr">
        <is>
          <t>Stages: Snapshot → Demo → Verbal → Payment sent → 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2026-05-29T21:24:19Z</dcterms:created>
  <dcterms:modified xmlns:dcterms="http://purl.org/dc/terms/" xmlns:xsi="http://www.w3.org/2001/XMLSchema-instance" xsi:type="dcterms:W3CDTF">2026-05-30T09:49:42Z</dcterms:modified>
</cp:coreProperties>
</file>