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Log" sheetId="2" state="visible" r:id="rId2"/>
    <sheet xmlns:r="http://schemas.openxmlformats.org/officeDocument/2006/relationships" name="Prospects" sheetId="3" state="visible" r:id="rId3"/>
    <sheet xmlns:r="http://schemas.openxmlformats.org/officeDocument/2006/relationships" name="Pipelin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€#,##0"/>
  </numFmts>
  <fonts count="6">
    <font>
      <name val="Calibri"/>
      <family val="2"/>
      <color theme="1"/>
      <sz val="11"/>
      <scheme val="minor"/>
    </font>
    <font>
      <b val="1"/>
      <color rgb="007C6EFF"/>
      <sz val="16"/>
    </font>
    <font>
      <i val="1"/>
      <color rgb="006B7280"/>
      <sz val="9"/>
    </font>
    <font>
      <b val="1"/>
    </font>
    <font>
      <b val="1"/>
      <color rgb="00FFFFFF"/>
    </font>
    <font>
      <b val="1"/>
      <color rgb="0010B981"/>
    </font>
  </fonts>
  <fills count="5">
    <fill>
      <patternFill/>
    </fill>
    <fill>
      <patternFill patternType="gray125"/>
    </fill>
    <fill>
      <patternFill patternType="solid">
        <fgColor rgb="00EDE9FE"/>
      </patternFill>
    </fill>
    <fill>
      <patternFill patternType="solid">
        <fgColor rgb="007C6EFF"/>
      </patternFill>
    </fill>
    <fill>
      <patternFill patternType="solid">
        <fgColor rgb="0010B981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5" fillId="0" borderId="0" pivotButton="0" quotePrefix="0" xfId="0"/>
    <xf numFmtId="0" fontId="5" fillId="0" borderId="1" pivotButton="0" quotePrefix="0" xfId="0"/>
    <xf numFmtId="0" fontId="4" fillId="4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164" fontId="3" fillId="2" borderId="1" applyAlignment="1" pivotButton="0" quotePrefix="0" xfId="0">
      <alignment horizontal="center"/>
    </xf>
    <xf numFmtId="0" fontId="0" fillId="2" borderId="0" pivotButton="0" quotePrefix="0" xfId="0"/>
    <xf numFmtId="164" fontId="0" fillId="0" borderId="1" pivotButton="0" quotePrefix="0" xfId="0"/>
    <xf numFmtId="0" fontId="3" fillId="0" borderId="0" pivotButton="0" quotePrefix="0" xfId="0"/>
    <xf numFmtId="164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Verispect — 15-Day Sprint War Room</t>
        </is>
      </c>
    </row>
    <row r="2">
      <c r="A2" s="2" t="inlineStr">
        <is>
          <t>Goal: 10 sales floor · 15 target · 20 stretch. Update daily.</t>
        </is>
      </c>
    </row>
    <row r="4">
      <c r="A4" s="3" t="inlineStr">
        <is>
          <t>FUNNEL MATH (to 15 closes)</t>
        </is>
      </c>
    </row>
    <row r="5">
      <c r="A5" s="4" t="inlineStr">
        <is>
          <t>Stage</t>
        </is>
      </c>
      <c r="B5" s="4" t="inlineStr">
        <is>
          <t>Conv → next</t>
        </is>
      </c>
      <c r="C5" s="4" t="inlineStr">
        <is>
          <t>Needed</t>
        </is>
      </c>
    </row>
    <row r="6">
      <c r="A6" s="5" t="inlineStr">
        <is>
          <t>Personalized touches</t>
        </is>
      </c>
      <c r="B6" s="6" t="inlineStr">
        <is>
          <t>7% reply</t>
        </is>
      </c>
      <c r="C6" s="7" t="n">
        <v>1500</v>
      </c>
    </row>
    <row r="7">
      <c r="A7" s="5" t="inlineStr">
        <is>
          <t>Replies</t>
        </is>
      </c>
      <c r="B7" s="6" t="inlineStr">
        <is>
          <t>40% snapshot</t>
        </is>
      </c>
      <c r="C7" s="7" t="n">
        <v>110</v>
      </c>
    </row>
    <row r="8">
      <c r="A8" s="5" t="inlineStr">
        <is>
          <t>Snapshots run</t>
        </is>
      </c>
      <c r="B8" s="6" t="inlineStr">
        <is>
          <t>35% demo</t>
        </is>
      </c>
      <c r="C8" s="7" t="n">
        <v>123</v>
      </c>
    </row>
    <row r="9">
      <c r="A9" s="5" t="inlineStr">
        <is>
          <t>Demos / setup calls</t>
        </is>
      </c>
      <c r="B9" s="6" t="inlineStr">
        <is>
          <t>35% close</t>
        </is>
      </c>
      <c r="C9" s="7" t="n">
        <v>43</v>
      </c>
    </row>
    <row r="10">
      <c r="A10" s="5" t="inlineStr">
        <is>
          <t>CLOSES</t>
        </is>
      </c>
      <c r="B10" s="6" t="inlineStr">
        <is>
          <t>—</t>
        </is>
      </c>
      <c r="C10" s="7" t="n">
        <v>15</v>
      </c>
    </row>
    <row r="11">
      <c r="A11" s="8" t="n"/>
    </row>
    <row r="13">
      <c r="A13" s="3" t="inlineStr">
        <is>
          <t>DAILY TARGETS</t>
        </is>
      </c>
    </row>
    <row r="14">
      <c r="A14" s="5" t="inlineStr">
        <is>
          <t>Touches/day</t>
        </is>
      </c>
      <c r="B14" s="7" t="n">
        <v>100</v>
      </c>
    </row>
    <row r="15">
      <c r="A15" s="5" t="inlineStr">
        <is>
          <t>Snapshots/day</t>
        </is>
      </c>
      <c r="B15" s="7" t="n">
        <v>8</v>
      </c>
    </row>
    <row r="16">
      <c r="A16" s="5" t="inlineStr">
        <is>
          <t>Demos/day</t>
        </is>
      </c>
      <c r="B16" s="7" t="n">
        <v>3</v>
      </c>
    </row>
    <row r="17">
      <c r="A17" s="5" t="inlineStr">
        <is>
          <t>Closes/day</t>
        </is>
      </c>
      <c r="B17" s="7" t="n">
        <v>1</v>
      </c>
    </row>
    <row r="19">
      <c r="A19" s="3" t="inlineStr">
        <is>
          <t>LIVE SCOREBOARD (pulls from Daily Log)</t>
        </is>
      </c>
    </row>
    <row r="20">
      <c r="A20" s="5" t="inlineStr">
        <is>
          <t>Total touches</t>
        </is>
      </c>
      <c r="B20" s="7">
        <f>SUM('Daily Log'!B3:B17)</f>
        <v/>
      </c>
    </row>
    <row r="21">
      <c r="A21" s="5" t="inlineStr">
        <is>
          <t>Total replies</t>
        </is>
      </c>
      <c r="B21" s="7">
        <f>SUM('Daily Log'!C3:C17)</f>
        <v/>
      </c>
    </row>
    <row r="22">
      <c r="A22" s="5" t="inlineStr">
        <is>
          <t>Total snapshots</t>
        </is>
      </c>
      <c r="B22" s="7">
        <f>SUM('Daily Log'!D3:D17)</f>
        <v/>
      </c>
    </row>
    <row r="23">
      <c r="A23" s="5" t="inlineStr">
        <is>
          <t>Total demos</t>
        </is>
      </c>
      <c r="B23" s="7">
        <f>SUM('Daily Log'!E3:E17)</f>
        <v/>
      </c>
    </row>
    <row r="24">
      <c r="A24" s="9" t="inlineStr">
        <is>
          <t>TOTAL CLOSES</t>
        </is>
      </c>
      <c r="B24" s="10">
        <f>SUM('Daily Log'!F3:F17)</f>
        <v/>
      </c>
    </row>
    <row r="25">
      <c r="A25" s="5" t="inlineStr">
        <is>
          <t>Cash banked (€)</t>
        </is>
      </c>
      <c r="B25" s="11">
        <f>SUM('Daily Log'!G3:G17)</f>
        <v/>
      </c>
    </row>
    <row r="26">
      <c r="A26" s="5" t="inlineStr">
        <is>
          <t>MRR added (€)</t>
        </is>
      </c>
      <c r="B26" s="11">
        <f>SUM('Daily Log'!H3:H17)</f>
        <v/>
      </c>
    </row>
    <row r="27">
      <c r="A27" s="5" t="inlineStr">
        <is>
          <t>Founding spots left</t>
        </is>
      </c>
      <c r="B27" s="7">
        <f>20-SUM('Daily Log'!F3:F17)</f>
        <v/>
      </c>
    </row>
    <row r="29">
      <c r="A29" s="3" t="inlineStr">
        <is>
          <t>vs GOAL</t>
        </is>
      </c>
    </row>
    <row r="30">
      <c r="A30" s="5" t="inlineStr">
        <is>
          <t>Closes vs floor (10)</t>
        </is>
      </c>
      <c r="B30" s="6">
        <f>B24&amp;" / 10"</f>
        <v/>
      </c>
    </row>
    <row r="31">
      <c r="A31" s="5" t="inlineStr">
        <is>
          <t>Closes vs target (15)</t>
        </is>
      </c>
      <c r="B31" s="6">
        <f>B24&amp;" / 15"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cols>
    <col width="7" customWidth="1" min="1" max="1"/>
    <col width="10" customWidth="1" min="2" max="2"/>
    <col width="9" customWidth="1" min="3" max="3"/>
    <col width="11" customWidth="1" min="4" max="4"/>
    <col width="8" customWidth="1" min="5" max="5"/>
    <col width="8" customWidth="1" min="6" max="6"/>
    <col width="10" customWidth="1" min="7" max="7"/>
    <col width="9" customWidth="1" min="8" max="8"/>
    <col width="40" customWidth="1" min="9" max="9"/>
  </cols>
  <sheetData>
    <row r="1">
      <c r="A1" s="1" t="inlineStr">
        <is>
          <t>Daily Log — fill end of each day</t>
        </is>
      </c>
    </row>
    <row r="2">
      <c r="A2" s="4" t="inlineStr">
        <is>
          <t>Day</t>
        </is>
      </c>
      <c r="B2" s="4" t="inlineStr">
        <is>
          <t>Touches</t>
        </is>
      </c>
      <c r="C2" s="4" t="inlineStr">
        <is>
          <t>Replies</t>
        </is>
      </c>
      <c r="D2" s="4" t="inlineStr">
        <is>
          <t>Snapshots</t>
        </is>
      </c>
      <c r="E2" s="4" t="inlineStr">
        <is>
          <t>Demos</t>
        </is>
      </c>
      <c r="F2" s="4" t="inlineStr">
        <is>
          <t>Closes</t>
        </is>
      </c>
      <c r="G2" s="4" t="inlineStr">
        <is>
          <t>Cash €</t>
        </is>
      </c>
      <c r="H2" s="4" t="inlineStr">
        <is>
          <t>MRR €</t>
        </is>
      </c>
      <c r="I2" s="4" t="inlineStr">
        <is>
          <t>Top win / blocker</t>
        </is>
      </c>
    </row>
    <row r="3">
      <c r="A3" s="6" t="n">
        <v>1</v>
      </c>
      <c r="B3" s="6" t="n">
        <v>0</v>
      </c>
      <c r="C3" s="6" t="n">
        <v>0</v>
      </c>
      <c r="D3" s="6" t="n">
        <v>0</v>
      </c>
      <c r="E3" s="6" t="n">
        <v>0</v>
      </c>
      <c r="F3" s="6" t="n">
        <v>0</v>
      </c>
      <c r="G3" s="12" t="n">
        <v>0</v>
      </c>
      <c r="H3" s="12" t="n">
        <v>0</v>
      </c>
      <c r="I3" s="5" t="n"/>
    </row>
    <row r="4">
      <c r="A4" s="6" t="n">
        <v>2</v>
      </c>
      <c r="B4" s="6" t="n">
        <v>0</v>
      </c>
      <c r="C4" s="6" t="n">
        <v>0</v>
      </c>
      <c r="D4" s="6" t="n">
        <v>0</v>
      </c>
      <c r="E4" s="6" t="n">
        <v>0</v>
      </c>
      <c r="F4" s="6" t="n">
        <v>0</v>
      </c>
      <c r="G4" s="12" t="n">
        <v>0</v>
      </c>
      <c r="H4" s="12" t="n">
        <v>0</v>
      </c>
      <c r="I4" s="5" t="n"/>
    </row>
    <row r="5">
      <c r="A5" s="6" t="n">
        <v>3</v>
      </c>
      <c r="B5" s="6" t="n">
        <v>0</v>
      </c>
      <c r="C5" s="6" t="n">
        <v>0</v>
      </c>
      <c r="D5" s="6" t="n">
        <v>0</v>
      </c>
      <c r="E5" s="6" t="n">
        <v>0</v>
      </c>
      <c r="F5" s="6" t="n">
        <v>0</v>
      </c>
      <c r="G5" s="12" t="n">
        <v>0</v>
      </c>
      <c r="H5" s="12" t="n">
        <v>0</v>
      </c>
      <c r="I5" s="5" t="n"/>
    </row>
    <row r="6">
      <c r="A6" s="6" t="n">
        <v>4</v>
      </c>
      <c r="B6" s="6" t="n">
        <v>0</v>
      </c>
      <c r="C6" s="6" t="n">
        <v>0</v>
      </c>
      <c r="D6" s="6" t="n">
        <v>0</v>
      </c>
      <c r="E6" s="6" t="n">
        <v>0</v>
      </c>
      <c r="F6" s="6" t="n">
        <v>0</v>
      </c>
      <c r="G6" s="12" t="n">
        <v>0</v>
      </c>
      <c r="H6" s="12" t="n">
        <v>0</v>
      </c>
      <c r="I6" s="5" t="n"/>
    </row>
    <row r="7">
      <c r="A7" s="6" t="n">
        <v>5</v>
      </c>
      <c r="B7" s="6" t="n">
        <v>0</v>
      </c>
      <c r="C7" s="6" t="n">
        <v>0</v>
      </c>
      <c r="D7" s="6" t="n">
        <v>0</v>
      </c>
      <c r="E7" s="6" t="n">
        <v>0</v>
      </c>
      <c r="F7" s="6" t="n">
        <v>0</v>
      </c>
      <c r="G7" s="12" t="n">
        <v>0</v>
      </c>
      <c r="H7" s="12" t="n">
        <v>0</v>
      </c>
      <c r="I7" s="5" t="n"/>
    </row>
    <row r="8">
      <c r="A8" s="6" t="n">
        <v>6</v>
      </c>
      <c r="B8" s="6" t="n">
        <v>0</v>
      </c>
      <c r="C8" s="6" t="n">
        <v>0</v>
      </c>
      <c r="D8" s="6" t="n">
        <v>0</v>
      </c>
      <c r="E8" s="6" t="n">
        <v>0</v>
      </c>
      <c r="F8" s="6" t="n">
        <v>0</v>
      </c>
      <c r="G8" s="12" t="n">
        <v>0</v>
      </c>
      <c r="H8" s="12" t="n">
        <v>0</v>
      </c>
      <c r="I8" s="5" t="n"/>
    </row>
    <row r="9">
      <c r="A9" s="6" t="n">
        <v>7</v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12" t="n">
        <v>0</v>
      </c>
      <c r="H9" s="12" t="n">
        <v>0</v>
      </c>
      <c r="I9" s="5" t="n"/>
    </row>
    <row r="10">
      <c r="A10" s="6" t="n">
        <v>8</v>
      </c>
      <c r="B10" s="6" t="n">
        <v>0</v>
      </c>
      <c r="C10" s="6" t="n">
        <v>0</v>
      </c>
      <c r="D10" s="6" t="n">
        <v>0</v>
      </c>
      <c r="E10" s="6" t="n">
        <v>0</v>
      </c>
      <c r="F10" s="6" t="n">
        <v>0</v>
      </c>
      <c r="G10" s="12" t="n">
        <v>0</v>
      </c>
      <c r="H10" s="12" t="n">
        <v>0</v>
      </c>
      <c r="I10" s="5" t="n"/>
    </row>
    <row r="11">
      <c r="A11" s="6" t="n">
        <v>9</v>
      </c>
      <c r="B11" s="6" t="n">
        <v>0</v>
      </c>
      <c r="C11" s="6" t="n">
        <v>0</v>
      </c>
      <c r="D11" s="6" t="n">
        <v>0</v>
      </c>
      <c r="E11" s="6" t="n">
        <v>0</v>
      </c>
      <c r="F11" s="6" t="n">
        <v>0</v>
      </c>
      <c r="G11" s="12" t="n">
        <v>0</v>
      </c>
      <c r="H11" s="12" t="n">
        <v>0</v>
      </c>
      <c r="I11" s="5" t="n"/>
    </row>
    <row r="12">
      <c r="A12" s="6" t="n">
        <v>10</v>
      </c>
      <c r="B12" s="6" t="n">
        <v>0</v>
      </c>
      <c r="C12" s="6" t="n">
        <v>0</v>
      </c>
      <c r="D12" s="6" t="n">
        <v>0</v>
      </c>
      <c r="E12" s="6" t="n">
        <v>0</v>
      </c>
      <c r="F12" s="6" t="n">
        <v>0</v>
      </c>
      <c r="G12" s="12" t="n">
        <v>0</v>
      </c>
      <c r="H12" s="12" t="n">
        <v>0</v>
      </c>
      <c r="I12" s="5" t="n"/>
    </row>
    <row r="13">
      <c r="A13" s="6" t="n">
        <v>11</v>
      </c>
      <c r="B13" s="6" t="n">
        <v>0</v>
      </c>
      <c r="C13" s="6" t="n">
        <v>0</v>
      </c>
      <c r="D13" s="6" t="n">
        <v>0</v>
      </c>
      <c r="E13" s="6" t="n">
        <v>0</v>
      </c>
      <c r="F13" s="6" t="n">
        <v>0</v>
      </c>
      <c r="G13" s="12" t="n">
        <v>0</v>
      </c>
      <c r="H13" s="12" t="n">
        <v>0</v>
      </c>
      <c r="I13" s="5" t="n"/>
    </row>
    <row r="14">
      <c r="A14" s="6" t="n">
        <v>12</v>
      </c>
      <c r="B14" s="6" t="n">
        <v>0</v>
      </c>
      <c r="C14" s="6" t="n">
        <v>0</v>
      </c>
      <c r="D14" s="6" t="n">
        <v>0</v>
      </c>
      <c r="E14" s="6" t="n">
        <v>0</v>
      </c>
      <c r="F14" s="6" t="n">
        <v>0</v>
      </c>
      <c r="G14" s="12" t="n">
        <v>0</v>
      </c>
      <c r="H14" s="12" t="n">
        <v>0</v>
      </c>
      <c r="I14" s="5" t="n"/>
    </row>
    <row r="15">
      <c r="A15" s="6" t="n">
        <v>13</v>
      </c>
      <c r="B15" s="6" t="n">
        <v>0</v>
      </c>
      <c r="C15" s="6" t="n">
        <v>0</v>
      </c>
      <c r="D15" s="6" t="n">
        <v>0</v>
      </c>
      <c r="E15" s="6" t="n">
        <v>0</v>
      </c>
      <c r="F15" s="6" t="n">
        <v>0</v>
      </c>
      <c r="G15" s="12" t="n">
        <v>0</v>
      </c>
      <c r="H15" s="12" t="n">
        <v>0</v>
      </c>
      <c r="I15" s="5" t="n"/>
    </row>
    <row r="16">
      <c r="A16" s="6" t="n">
        <v>14</v>
      </c>
      <c r="B16" s="6" t="n">
        <v>0</v>
      </c>
      <c r="C16" s="6" t="n">
        <v>0</v>
      </c>
      <c r="D16" s="6" t="n">
        <v>0</v>
      </c>
      <c r="E16" s="6" t="n">
        <v>0</v>
      </c>
      <c r="F16" s="6" t="n">
        <v>0</v>
      </c>
      <c r="G16" s="12" t="n">
        <v>0</v>
      </c>
      <c r="H16" s="12" t="n">
        <v>0</v>
      </c>
      <c r="I16" s="5" t="n"/>
    </row>
    <row r="17">
      <c r="A17" s="6" t="n">
        <v>15</v>
      </c>
      <c r="B17" s="6" t="n">
        <v>0</v>
      </c>
      <c r="C17" s="6" t="n">
        <v>0</v>
      </c>
      <c r="D17" s="6" t="n">
        <v>0</v>
      </c>
      <c r="E17" s="6" t="n">
        <v>0</v>
      </c>
      <c r="F17" s="6" t="n">
        <v>0</v>
      </c>
      <c r="G17" s="12" t="n">
        <v>0</v>
      </c>
      <c r="H17" s="12" t="n">
        <v>0</v>
      </c>
      <c r="I17" s="5" t="n"/>
    </row>
    <row r="18">
      <c r="A18" s="3" t="inlineStr">
        <is>
          <t>TOTAL</t>
        </is>
      </c>
      <c r="B18" s="13">
        <f>SUM(B3:B17)</f>
        <v/>
      </c>
      <c r="C18" s="13">
        <f>SUM(C3:C17)</f>
        <v/>
      </c>
      <c r="D18" s="13">
        <f>SUM(D3:D17)</f>
        <v/>
      </c>
      <c r="E18" s="13">
        <f>SUM(E3:E17)</f>
        <v/>
      </c>
      <c r="F18" s="13">
        <f>SUM(F3:F17)</f>
        <v/>
      </c>
      <c r="G18" s="14">
        <f>SUM(G3:G17)</f>
        <v/>
      </c>
      <c r="H18" s="14">
        <f>SUM(H3:H17)</f>
        <v/>
      </c>
      <c r="I18" s="1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8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8" customWidth="1" min="3" max="3"/>
    <col width="18" customWidth="1" min="4" max="4"/>
    <col width="8" customWidth="1" min="5" max="5"/>
    <col width="14" customWidth="1" min="6" max="6"/>
    <col width="32" customWidth="1" min="7" max="7"/>
    <col width="14" customWidth="1" min="8" max="8"/>
    <col width="26" customWidth="1" min="9" max="9"/>
    <col width="14" customWidth="1" min="10" max="10"/>
    <col width="12" customWidth="1" min="11" max="11"/>
    <col width="22" customWidth="1" min="12" max="12"/>
  </cols>
  <sheetData>
    <row r="1">
      <c r="A1" s="1" t="inlineStr">
        <is>
          <t>Prospects — the list (build 300+ Day 0)</t>
        </is>
      </c>
    </row>
    <row r="2">
      <c r="A2" s="4" t="inlineStr">
        <is>
          <t>Tier</t>
        </is>
      </c>
      <c r="B2" s="4" t="inlineStr">
        <is>
          <t>Company</t>
        </is>
      </c>
      <c r="C2" s="4" t="inlineStr">
        <is>
          <t>Person</t>
        </is>
      </c>
      <c r="D2" s="4" t="inlineStr">
        <is>
          <t>Title</t>
        </is>
      </c>
      <c r="E2" s="4" t="inlineStr">
        <is>
          <t>Geo</t>
        </is>
      </c>
      <c r="F2" s="4" t="inlineStr">
        <is>
          <t>Vertical</t>
        </is>
      </c>
      <c r="G2" s="4" t="inlineStr">
        <is>
          <t>LLM use case (personalization)</t>
        </is>
      </c>
      <c r="H2" s="4" t="inlineStr">
        <is>
          <t>Source</t>
        </is>
      </c>
      <c r="I2" s="4" t="inlineStr">
        <is>
          <t>LinkedIn/Email</t>
        </is>
      </c>
      <c r="J2" s="4" t="inlineStr">
        <is>
          <t>Status</t>
        </is>
      </c>
      <c r="K2" s="4" t="inlineStr">
        <is>
          <t>Last touch</t>
        </is>
      </c>
      <c r="L2" s="4" t="inlineStr">
        <is>
          <t>Next step + date</t>
        </is>
      </c>
    </row>
    <row r="3">
      <c r="A3" s="5" t="inlineStr">
        <is>
          <t>A</t>
        </is>
      </c>
      <c r="B3" s="5" t="inlineStr">
        <is>
          <t>Maki People</t>
        </is>
      </c>
      <c r="C3" s="5" t="inlineStr"/>
      <c r="D3" s="5" t="inlineStr"/>
      <c r="E3" s="5" t="inlineStr">
        <is>
          <t>Paris FR</t>
        </is>
      </c>
      <c r="F3" s="5" t="inlineStr">
        <is>
          <t>HR-tech</t>
        </is>
      </c>
      <c r="G3" s="5" t="inlineStr">
        <is>
          <t>Conversational AI assesses skills &amp; filters candidates</t>
        </is>
      </c>
      <c r="H3" s="5" t="inlineStr">
        <is>
          <t>agent-research</t>
        </is>
      </c>
      <c r="I3" s="5" t="inlineStr"/>
      <c r="J3" s="5" t="inlineStr">
        <is>
          <t>Research</t>
        </is>
      </c>
      <c r="K3" s="5" t="inlineStr"/>
      <c r="L3" s="5" t="inlineStr">
        <is>
          <t>€27.8M Series A; H&amp;M/BNP/PwC clients</t>
        </is>
      </c>
    </row>
    <row r="4">
      <c r="A4" s="5" t="inlineStr">
        <is>
          <t>A</t>
        </is>
      </c>
      <c r="B4" s="5" t="inlineStr">
        <is>
          <t>HrFlow.ai</t>
        </is>
      </c>
      <c r="C4" s="5" t="inlineStr"/>
      <c r="D4" s="5" t="inlineStr"/>
      <c r="E4" s="5" t="inlineStr">
        <is>
          <t>Paris FR</t>
        </is>
      </c>
      <c r="F4" s="5" t="inlineStr">
        <is>
          <t>HR-tech</t>
        </is>
      </c>
      <c r="G4" s="5" t="inlineStr">
        <is>
          <t>Explainable AI scores &amp; prioritizes candidate profiles</t>
        </is>
      </c>
      <c r="H4" s="5" t="inlineStr">
        <is>
          <t>agent-research</t>
        </is>
      </c>
      <c r="I4" s="5" t="inlineStr"/>
      <c r="J4" s="5" t="inlineStr">
        <is>
          <t>Research</t>
        </is>
      </c>
      <c r="K4" s="5" t="inlineStr"/>
      <c r="L4" s="5" t="inlineStr">
        <is>
          <t>€6M pre-A Apr 2026; explainability angle</t>
        </is>
      </c>
    </row>
    <row r="5">
      <c r="A5" s="5" t="inlineStr">
        <is>
          <t>A</t>
        </is>
      </c>
      <c r="B5" s="5" t="inlineStr">
        <is>
          <t>Dex</t>
        </is>
      </c>
      <c r="C5" s="5" t="inlineStr"/>
      <c r="D5" s="5" t="inlineStr"/>
      <c r="E5" s="5" t="inlineStr">
        <is>
          <t>London UK</t>
        </is>
      </c>
      <c r="F5" s="5" t="inlineStr">
        <is>
          <t>HR-tech</t>
        </is>
      </c>
      <c r="G5" s="5" t="inlineStr">
        <is>
          <t>AI matches engineers to roles via ML engine</t>
        </is>
      </c>
      <c r="H5" s="5" t="inlineStr">
        <is>
          <t>agent-research</t>
        </is>
      </c>
      <c r="I5" s="5" t="inlineStr"/>
      <c r="J5" s="5" t="inlineStr">
        <is>
          <t>Research</t>
        </is>
      </c>
      <c r="K5" s="5" t="inlineStr"/>
      <c r="L5" s="5" t="inlineStr">
        <is>
          <t>$5.3M seed Apr 2026 (a16z Speedrun)</t>
        </is>
      </c>
    </row>
    <row r="6">
      <c r="A6" s="5" t="inlineStr">
        <is>
          <t>A</t>
        </is>
      </c>
      <c r="B6" s="5" t="inlineStr">
        <is>
          <t>Carv</t>
        </is>
      </c>
      <c r="C6" s="5" t="inlineStr"/>
      <c r="D6" s="5" t="inlineStr"/>
      <c r="E6" s="5" t="inlineStr">
        <is>
          <t>Amsterdam NL</t>
        </is>
      </c>
      <c r="F6" s="5" t="inlineStr">
        <is>
          <t>HR-tech</t>
        </is>
      </c>
      <c r="G6" s="5" t="inlineStr">
        <is>
          <t>AI pre-screens candidates via chat/voice</t>
        </is>
      </c>
      <c r="H6" s="5" t="inlineStr">
        <is>
          <t>agent-research</t>
        </is>
      </c>
      <c r="I6" s="5" t="inlineStr"/>
      <c r="J6" s="5" t="inlineStr">
        <is>
          <t>Research</t>
        </is>
      </c>
      <c r="K6" s="5" t="inlineStr"/>
      <c r="L6" s="5" t="inlineStr">
        <is>
          <t>$10M seed; launched 2024</t>
        </is>
      </c>
    </row>
    <row r="7">
      <c r="A7" s="5" t="inlineStr">
        <is>
          <t>A</t>
        </is>
      </c>
      <c r="B7" s="5" t="inlineStr">
        <is>
          <t>Empion</t>
        </is>
      </c>
      <c r="C7" s="5" t="inlineStr"/>
      <c r="D7" s="5" t="inlineStr"/>
      <c r="E7" s="5" t="inlineStr">
        <is>
          <t>Berlin DE</t>
        </is>
      </c>
      <c r="F7" s="5" t="inlineStr">
        <is>
          <t>HR-tech</t>
        </is>
      </c>
      <c r="G7" s="5" t="inlineStr">
        <is>
          <t>AI robo-advisor matches/ranks candidates</t>
        </is>
      </c>
      <c r="H7" s="5" t="inlineStr">
        <is>
          <t>agent-research</t>
        </is>
      </c>
      <c r="I7" s="5" t="inlineStr"/>
      <c r="J7" s="5" t="inlineStr">
        <is>
          <t>Research</t>
        </is>
      </c>
      <c r="K7" s="5" t="inlineStr"/>
      <c r="L7" s="5" t="inlineStr">
        <is>
          <t>~€9M raised; acquired Zalvus</t>
        </is>
      </c>
    </row>
    <row r="8">
      <c r="A8" s="5" t="inlineStr">
        <is>
          <t>A</t>
        </is>
      </c>
      <c r="B8" s="5" t="inlineStr">
        <is>
          <t>Retorio</t>
        </is>
      </c>
      <c r="C8" s="5" t="inlineStr"/>
      <c r="D8" s="5" t="inlineStr"/>
      <c r="E8" s="5" t="inlineStr">
        <is>
          <t>Munich DE</t>
        </is>
      </c>
      <c r="F8" s="5" t="inlineStr">
        <is>
          <t>HR-tech</t>
        </is>
      </c>
      <c r="G8" s="5" t="inlineStr">
        <is>
          <t>Video AI infers personality to assess fit</t>
        </is>
      </c>
      <c r="H8" s="5" t="inlineStr">
        <is>
          <t>agent-research</t>
        </is>
      </c>
      <c r="I8" s="5" t="inlineStr"/>
      <c r="J8" s="5" t="inlineStr">
        <is>
          <t>Research</t>
        </is>
      </c>
      <c r="K8" s="5" t="inlineStr"/>
      <c r="L8" s="5" t="inlineStr">
        <is>
          <t>€9M Series A; behavioral scoring = high scrutiny</t>
        </is>
      </c>
    </row>
    <row r="9">
      <c r="A9" s="5" t="inlineStr">
        <is>
          <t>A</t>
        </is>
      </c>
      <c r="B9" s="5" t="inlineStr">
        <is>
          <t>Tengai</t>
        </is>
      </c>
      <c r="C9" s="5" t="inlineStr"/>
      <c r="D9" s="5" t="inlineStr"/>
      <c r="E9" s="5" t="inlineStr">
        <is>
          <t>Stockholm SE</t>
        </is>
      </c>
      <c r="F9" s="5" t="inlineStr">
        <is>
          <t>HR-tech</t>
        </is>
      </c>
      <c r="G9" s="5" t="inlineStr">
        <is>
          <t>AI interview avatar screens candidates unbiased</t>
        </is>
      </c>
      <c r="H9" s="5" t="inlineStr">
        <is>
          <t>agent-research</t>
        </is>
      </c>
      <c r="I9" s="5" t="inlineStr"/>
      <c r="J9" s="5" t="inlineStr">
        <is>
          <t>Research</t>
        </is>
      </c>
      <c r="K9" s="5" t="inlineStr"/>
      <c r="L9" s="5" t="inlineStr">
        <is>
          <t>Brand = unbiased; needs evidence</t>
        </is>
      </c>
    </row>
    <row r="10">
      <c r="A10" s="5" t="inlineStr">
        <is>
          <t>A</t>
        </is>
      </c>
      <c r="B10" s="5" t="inlineStr">
        <is>
          <t>Vinter</t>
        </is>
      </c>
      <c r="C10" s="5" t="inlineStr"/>
      <c r="D10" s="5" t="inlineStr"/>
      <c r="E10" s="5" t="inlineStr">
        <is>
          <t>London UK</t>
        </is>
      </c>
      <c r="F10" s="5" t="inlineStr">
        <is>
          <t>HR-tech</t>
        </is>
      </c>
      <c r="G10" s="5" t="inlineStr">
        <is>
          <t>AI evaluates candidates across tasks &amp; video</t>
        </is>
      </c>
      <c r="H10" s="5" t="inlineStr">
        <is>
          <t>agent-research</t>
        </is>
      </c>
      <c r="I10" s="5" t="inlineStr"/>
      <c r="J10" s="5" t="inlineStr">
        <is>
          <t>Research</t>
        </is>
      </c>
      <c r="K10" s="5" t="inlineStr"/>
      <c r="L10" s="5" t="inlineStr">
        <is>
          <t>€1.4M seed; 'bias-free' positioning</t>
        </is>
      </c>
    </row>
    <row r="11">
      <c r="A11" s="5" t="inlineStr">
        <is>
          <t>B</t>
        </is>
      </c>
      <c r="B11" s="5" t="inlineStr">
        <is>
          <t>Alva Labs</t>
        </is>
      </c>
      <c r="C11" s="5" t="inlineStr"/>
      <c r="D11" s="5" t="inlineStr"/>
      <c r="E11" s="5" t="inlineStr">
        <is>
          <t>Stockholm SE</t>
        </is>
      </c>
      <c r="F11" s="5" t="inlineStr">
        <is>
          <t>HR-tech</t>
        </is>
      </c>
      <c r="G11" s="5" t="inlineStr">
        <is>
          <t>AI psychometric tests predict candidate fit</t>
        </is>
      </c>
      <c r="H11" s="5" t="inlineStr">
        <is>
          <t>agent-research</t>
        </is>
      </c>
      <c r="I11" s="5" t="inlineStr"/>
      <c r="J11" s="5" t="inlineStr">
        <is>
          <t>Research</t>
        </is>
      </c>
      <c r="K11" s="5" t="inlineStr"/>
      <c r="L11" s="5" t="inlineStr">
        <is>
          <t>$14.2M Series A (VNV Global)</t>
        </is>
      </c>
    </row>
    <row r="12">
      <c r="A12" s="5" t="inlineStr">
        <is>
          <t>B</t>
        </is>
      </c>
      <c r="B12" s="5" t="inlineStr">
        <is>
          <t>Sapia.ai</t>
        </is>
      </c>
      <c r="C12" s="5" t="inlineStr"/>
      <c r="D12" s="5" t="inlineStr"/>
      <c r="E12" s="5" t="inlineStr">
        <is>
          <t>London UK (ops)</t>
        </is>
      </c>
      <c r="F12" s="5" t="inlineStr">
        <is>
          <t>HR-tech</t>
        </is>
      </c>
      <c r="G12" s="5" t="inlineStr">
        <is>
          <t>Chat AI interviews score &amp; shortlist candidates</t>
        </is>
      </c>
      <c r="H12" s="5" t="inlineStr">
        <is>
          <t>agent-research</t>
        </is>
      </c>
      <c r="I12" s="5" t="inlineStr"/>
      <c r="J12" s="5" t="inlineStr">
        <is>
          <t>Research</t>
        </is>
      </c>
      <c r="K12" s="5" t="inlineStr"/>
      <c r="L12" s="5" t="inlineStr">
        <is>
          <t>10M+ interviews; HQ AU - flag</t>
        </is>
      </c>
    </row>
    <row r="13">
      <c r="A13" s="5" t="inlineStr">
        <is>
          <t>B</t>
        </is>
      </c>
      <c r="B13" s="5" t="inlineStr">
        <is>
          <t>Applied</t>
        </is>
      </c>
      <c r="C13" s="5" t="inlineStr"/>
      <c r="D13" s="5" t="inlineStr"/>
      <c r="E13" s="5" t="inlineStr">
        <is>
          <t>London UK</t>
        </is>
      </c>
      <c r="F13" s="5" t="inlineStr">
        <is>
          <t>HR-tech</t>
        </is>
      </c>
      <c r="G13" s="5" t="inlineStr">
        <is>
          <t>Debiased task-based candidate assessments</t>
        </is>
      </c>
      <c r="H13" s="5" t="inlineStr">
        <is>
          <t>agent-research</t>
        </is>
      </c>
      <c r="I13" s="5" t="inlineStr"/>
      <c r="J13" s="5" t="inlineStr">
        <is>
          <t>Research</t>
        </is>
      </c>
      <c r="K13" s="5" t="inlineStr"/>
      <c r="L13" s="5" t="inlineStr">
        <is>
          <t>BIT spin-out; public RAI claim</t>
        </is>
      </c>
    </row>
    <row r="14">
      <c r="A14" s="5" t="inlineStr">
        <is>
          <t>B</t>
        </is>
      </c>
      <c r="B14" s="5" t="inlineStr">
        <is>
          <t>Maki/Neobrain</t>
        </is>
      </c>
      <c r="C14" s="5" t="inlineStr"/>
      <c r="D14" s="5" t="inlineStr"/>
      <c r="E14" s="5" t="inlineStr">
        <is>
          <t>Paris FR</t>
        </is>
      </c>
      <c r="F14" s="5" t="inlineStr">
        <is>
          <t>HR-tech</t>
        </is>
      </c>
      <c r="G14" s="5" t="inlineStr">
        <is>
          <t>AI maps skills &amp; assesses employees for mobility</t>
        </is>
      </c>
      <c r="H14" s="5" t="inlineStr">
        <is>
          <t>agent-research</t>
        </is>
      </c>
      <c r="I14" s="5" t="inlineStr"/>
      <c r="J14" s="5" t="inlineStr">
        <is>
          <t>Research</t>
        </is>
      </c>
      <c r="K14" s="5" t="inlineStr"/>
      <c r="L14" s="5" t="inlineStr">
        <is>
          <t>€20M Series A (Breega)</t>
        </is>
      </c>
    </row>
    <row r="15">
      <c r="A15" s="5" t="inlineStr">
        <is>
          <t>B</t>
        </is>
      </c>
      <c r="B15" s="5" t="inlineStr">
        <is>
          <t>AssessFirst</t>
        </is>
      </c>
      <c r="C15" s="5" t="inlineStr"/>
      <c r="D15" s="5" t="inlineStr"/>
      <c r="E15" s="5" t="inlineStr">
        <is>
          <t>Paris FR</t>
        </is>
      </c>
      <c r="F15" s="5" t="inlineStr">
        <is>
          <t>HR-tech</t>
        </is>
      </c>
      <c r="G15" s="5" t="inlineStr">
        <is>
          <t>AI predicts candidate potential</t>
        </is>
      </c>
      <c r="H15" s="5" t="inlineStr">
        <is>
          <t>agent-research</t>
        </is>
      </c>
      <c r="I15" s="5" t="inlineStr"/>
      <c r="J15" s="5" t="inlineStr">
        <is>
          <t>Research</t>
        </is>
      </c>
      <c r="K15" s="5" t="inlineStr"/>
      <c r="L15" s="5" t="inlineStr">
        <is>
          <t>3500+ companies 40+ countries</t>
        </is>
      </c>
    </row>
    <row r="16">
      <c r="A16" s="5" t="inlineStr">
        <is>
          <t>B</t>
        </is>
      </c>
      <c r="B16" s="5" t="inlineStr">
        <is>
          <t>Orbio</t>
        </is>
      </c>
      <c r="C16" s="5" t="inlineStr"/>
      <c r="D16" s="5" t="inlineStr"/>
      <c r="E16" s="5" t="inlineStr">
        <is>
          <t>Madrid ES</t>
        </is>
      </c>
      <c r="F16" s="5" t="inlineStr">
        <is>
          <t>HR-tech</t>
        </is>
      </c>
      <c r="G16" s="5" t="inlineStr">
        <is>
          <t>Autonomous AI agents run screening end-to-end</t>
        </is>
      </c>
      <c r="H16" s="5" t="inlineStr">
        <is>
          <t>agent-research</t>
        </is>
      </c>
      <c r="I16" s="5" t="inlineStr"/>
      <c r="J16" s="5" t="inlineStr">
        <is>
          <t>Research</t>
        </is>
      </c>
      <c r="K16" s="5" t="inlineStr"/>
      <c r="L16" s="5" t="inlineStr">
        <is>
          <t>€6.4M raised; founded 2025</t>
        </is>
      </c>
    </row>
    <row r="17">
      <c r="A17" s="5" t="inlineStr">
        <is>
          <t>B</t>
        </is>
      </c>
      <c r="B17" s="5" t="inlineStr">
        <is>
          <t>Wrksense</t>
        </is>
      </c>
      <c r="C17" s="5" t="inlineStr"/>
      <c r="D17" s="5" t="inlineStr"/>
      <c r="E17" s="5" t="inlineStr">
        <is>
          <t>Dublin IE</t>
        </is>
      </c>
      <c r="F17" s="5" t="inlineStr">
        <is>
          <t>HR-tech</t>
        </is>
      </c>
      <c r="G17" s="5" t="inlineStr">
        <is>
          <t>Full AI recruiter screens/evaluates candidates</t>
        </is>
      </c>
      <c r="H17" s="5" t="inlineStr">
        <is>
          <t>agent-research</t>
        </is>
      </c>
      <c r="I17" s="5" t="inlineStr"/>
      <c r="J17" s="5" t="inlineStr">
        <is>
          <t>Research</t>
        </is>
      </c>
      <c r="K17" s="5" t="inlineStr"/>
      <c r="L17" s="5" t="inlineStr">
        <is>
          <t>Targets orgs hiring 200+/yr</t>
        </is>
      </c>
    </row>
    <row r="18">
      <c r="A18" s="5" t="inlineStr">
        <is>
          <t>B</t>
        </is>
      </c>
      <c r="B18" s="5" t="inlineStr">
        <is>
          <t>HrFlow/Carv tier</t>
        </is>
      </c>
      <c r="C18" s="5" t="inlineStr"/>
      <c r="D18" s="5" t="inlineStr"/>
      <c r="E18" s="5" t="inlineStr">
        <is>
          <t>Rotterdam NL</t>
        </is>
      </c>
      <c r="F18" s="5" t="inlineStr">
        <is>
          <t>HR-tech</t>
        </is>
      </c>
      <c r="G18" s="5" t="inlineStr">
        <is>
          <t>AI matching students/pros to employers (Magnet.me)</t>
        </is>
      </c>
      <c r="H18" s="5" t="inlineStr">
        <is>
          <t>agent-research</t>
        </is>
      </c>
      <c r="I18" s="5" t="inlineStr"/>
      <c r="J18" s="5" t="inlineStr">
        <is>
          <t>Research</t>
        </is>
      </c>
      <c r="K18" s="5" t="inlineStr"/>
      <c r="L18" s="5" t="inlineStr">
        <is>
          <t>400k+ professionals</t>
        </is>
      </c>
    </row>
    <row r="19">
      <c r="A19" s="5" t="inlineStr">
        <is>
          <t>B</t>
        </is>
      </c>
      <c r="B19" s="5" t="inlineStr">
        <is>
          <t>TestGorilla</t>
        </is>
      </c>
      <c r="C19" s="5" t="inlineStr"/>
      <c r="D19" s="5" t="inlineStr"/>
      <c r="E19" s="5" t="inlineStr">
        <is>
          <t>Amsterdam NL</t>
        </is>
      </c>
      <c r="F19" s="5" t="inlineStr">
        <is>
          <t>HR-tech</t>
        </is>
      </c>
      <c r="G19" s="5" t="inlineStr">
        <is>
          <t>AI skills assessments + resume scoring</t>
        </is>
      </c>
      <c r="H19" s="5" t="inlineStr">
        <is>
          <t>agent-research</t>
        </is>
      </c>
      <c r="I19" s="5" t="inlineStr"/>
      <c r="J19" s="5" t="inlineStr">
        <is>
          <t>Research</t>
        </is>
      </c>
      <c r="K19" s="5" t="inlineStr"/>
      <c r="L19" s="5" t="inlineStr">
        <is>
          <t>Large skills-test library</t>
        </is>
      </c>
    </row>
    <row r="20">
      <c r="A20" s="5" t="inlineStr">
        <is>
          <t>B</t>
        </is>
      </c>
      <c r="B20" s="5" t="inlineStr">
        <is>
          <t>Globus.ai</t>
        </is>
      </c>
      <c r="C20" s="5" t="inlineStr"/>
      <c r="D20" s="5" t="inlineStr"/>
      <c r="E20" s="5" t="inlineStr">
        <is>
          <t>Oslo NO</t>
        </is>
      </c>
      <c r="F20" s="5" t="inlineStr">
        <is>
          <t>HR-tech</t>
        </is>
      </c>
      <c r="G20" s="5" t="inlineStr">
        <is>
          <t>AI matches &amp; books healthcare staff</t>
        </is>
      </c>
      <c r="H20" s="5" t="inlineStr">
        <is>
          <t>agent-research</t>
        </is>
      </c>
      <c r="I20" s="5" t="inlineStr"/>
      <c r="J20" s="5" t="inlineStr">
        <is>
          <t>Research</t>
        </is>
      </c>
      <c r="K20" s="5" t="inlineStr"/>
      <c r="L20" s="5" t="inlineStr">
        <is>
          <t>$4.8M seed; 12x growth</t>
        </is>
      </c>
    </row>
    <row r="21">
      <c r="A21" s="5" t="inlineStr">
        <is>
          <t>C</t>
        </is>
      </c>
      <c r="B21" s="5" t="inlineStr">
        <is>
          <t>Beamery</t>
        </is>
      </c>
      <c r="C21" s="5" t="inlineStr"/>
      <c r="D21" s="5" t="inlineStr"/>
      <c r="E21" s="5" t="inlineStr">
        <is>
          <t>London UK</t>
        </is>
      </c>
      <c r="F21" s="5" t="inlineStr">
        <is>
          <t>HR-tech</t>
        </is>
      </c>
      <c r="G21" s="5" t="inlineStr">
        <is>
          <t>AI infers skills to match/rank talent</t>
        </is>
      </c>
      <c r="H21" s="5" t="inlineStr">
        <is>
          <t>agent-research</t>
        </is>
      </c>
      <c r="I21" s="5" t="inlineStr"/>
      <c r="J21" s="5" t="inlineStr">
        <is>
          <t>Research</t>
        </is>
      </c>
      <c r="K21" s="5" t="inlineStr"/>
      <c r="L21" s="5" t="inlineStr">
        <is>
          <t>Enterprise clients; runs large</t>
        </is>
      </c>
    </row>
    <row r="22">
      <c r="A22" s="5" t="inlineStr">
        <is>
          <t>C</t>
        </is>
      </c>
      <c r="B22" s="5" t="inlineStr">
        <is>
          <t>HeyJobs</t>
        </is>
      </c>
      <c r="C22" s="5" t="inlineStr"/>
      <c r="D22" s="5" t="inlineStr"/>
      <c r="E22" s="5" t="inlineStr">
        <is>
          <t>Berlin DE</t>
        </is>
      </c>
      <c r="F22" s="5" t="inlineStr">
        <is>
          <t>HR-tech</t>
        </is>
      </c>
      <c r="G22" s="5" t="inlineStr">
        <is>
          <t>ML matching scores candidate shortlists</t>
        </is>
      </c>
      <c r="H22" s="5" t="inlineStr">
        <is>
          <t>agent-research</t>
        </is>
      </c>
      <c r="I22" s="5" t="inlineStr"/>
      <c r="J22" s="5" t="inlineStr">
        <is>
          <t>Research</t>
        </is>
      </c>
      <c r="K22" s="5" t="inlineStr"/>
      <c r="L22" s="5" t="inlineStr">
        <is>
          <t>$59M raised; runs large</t>
        </is>
      </c>
    </row>
    <row r="23">
      <c r="A23" s="5" t="inlineStr">
        <is>
          <t>C</t>
        </is>
      </c>
      <c r="B23" s="5" t="inlineStr">
        <is>
          <t>Job&amp;Talent</t>
        </is>
      </c>
      <c r="C23" s="5" t="inlineStr"/>
      <c r="D23" s="5" t="inlineStr"/>
      <c r="E23" s="5" t="inlineStr">
        <is>
          <t>Madrid ES</t>
        </is>
      </c>
      <c r="F23" s="5" t="inlineStr">
        <is>
          <t>HR-tech</t>
        </is>
      </c>
      <c r="G23" s="5" t="inlineStr">
        <is>
          <t>ML automates blue-collar hiring/matching</t>
        </is>
      </c>
      <c r="H23" s="5" t="inlineStr">
        <is>
          <t>agent-research</t>
        </is>
      </c>
      <c r="I23" s="5" t="inlineStr"/>
      <c r="J23" s="5" t="inlineStr">
        <is>
          <t>Research</t>
        </is>
      </c>
      <c r="K23" s="5" t="inlineStr"/>
      <c r="L23" s="5" t="inlineStr">
        <is>
          <t>One of EU's largest; runs large</t>
        </is>
      </c>
    </row>
    <row r="24">
      <c r="A24" s="5" t="inlineStr">
        <is>
          <t>A</t>
        </is>
      </c>
      <c r="B24" s="5" t="inlineStr">
        <is>
          <t>Taktile</t>
        </is>
      </c>
      <c r="C24" s="5" t="inlineStr"/>
      <c r="D24" s="5" t="inlineStr"/>
      <c r="E24" s="5" t="inlineStr">
        <is>
          <t>Berlin DE</t>
        </is>
      </c>
      <c r="F24" s="5" t="inlineStr">
        <is>
          <t>Fintech</t>
        </is>
      </c>
      <c r="G24" s="5" t="inlineStr">
        <is>
          <t>AI credit/risk underwriting decision platform</t>
        </is>
      </c>
      <c r="H24" s="5" t="inlineStr">
        <is>
          <t>agent-research</t>
        </is>
      </c>
      <c r="I24" s="5" t="inlineStr"/>
      <c r="J24" s="5" t="inlineStr">
        <is>
          <t>Research</t>
        </is>
      </c>
      <c r="K24" s="5" t="inlineStr"/>
      <c r="L24" s="5" t="inlineStr">
        <is>
          <t>$54M Series B Feb 2025; 24 markets</t>
        </is>
      </c>
    </row>
    <row r="25">
      <c r="A25" s="5" t="inlineStr">
        <is>
          <t>A</t>
        </is>
      </c>
      <c r="B25" s="5" t="inlineStr">
        <is>
          <t>Banxware</t>
        </is>
      </c>
      <c r="C25" s="5" t="inlineStr"/>
      <c r="D25" s="5" t="inlineStr"/>
      <c r="E25" s="5" t="inlineStr">
        <is>
          <t>Berlin DE</t>
        </is>
      </c>
      <c r="F25" s="5" t="inlineStr">
        <is>
          <t>Fintech</t>
        </is>
      </c>
      <c r="G25" s="5" t="inlineStr">
        <is>
          <t>AI underwriting for embedded SME lending</t>
        </is>
      </c>
      <c r="H25" s="5" t="inlineStr">
        <is>
          <t>agent-research</t>
        </is>
      </c>
      <c r="I25" s="5" t="inlineStr"/>
      <c r="J25" s="5" t="inlineStr">
        <is>
          <t>Research</t>
        </is>
      </c>
      <c r="K25" s="5" t="inlineStr"/>
      <c r="L25" s="5" t="inlineStr">
        <is>
          <t>€10M from UniCredit Jun 2025</t>
        </is>
      </c>
    </row>
    <row r="26">
      <c r="A26" s="5" t="inlineStr">
        <is>
          <t>A</t>
        </is>
      </c>
      <c r="B26" s="5" t="inlineStr">
        <is>
          <t>Karmen</t>
        </is>
      </c>
      <c r="C26" s="5" t="inlineStr"/>
      <c r="D26" s="5" t="inlineStr"/>
      <c r="E26" s="5" t="inlineStr">
        <is>
          <t>Paris FR</t>
        </is>
      </c>
      <c r="F26" s="5" t="inlineStr">
        <is>
          <t>Fintech</t>
        </is>
      </c>
      <c r="G26" s="5" t="inlineStr">
        <is>
          <t>AI credit-risk scoring for revenue-based finance</t>
        </is>
      </c>
      <c r="H26" s="5" t="inlineStr">
        <is>
          <t>agent-research</t>
        </is>
      </c>
      <c r="I26" s="5" t="inlineStr"/>
      <c r="J26" s="5" t="inlineStr">
        <is>
          <t>Research</t>
        </is>
      </c>
      <c r="K26" s="5" t="inlineStr"/>
      <c r="L26" s="5" t="inlineStr">
        <is>
          <t>$9.4M Jan 2025 (Bpifrance)</t>
        </is>
      </c>
    </row>
    <row r="27">
      <c r="A27" s="5" t="inlineStr">
        <is>
          <t>A</t>
        </is>
      </c>
      <c r="B27" s="5" t="inlineStr">
        <is>
          <t>Defacto</t>
        </is>
      </c>
      <c r="C27" s="5" t="inlineStr"/>
      <c r="D27" s="5" t="inlineStr"/>
      <c r="E27" s="5" t="inlineStr">
        <is>
          <t>Paris FR</t>
        </is>
      </c>
      <c r="F27" s="5" t="inlineStr">
        <is>
          <t>Fintech</t>
        </is>
      </c>
      <c r="G27" s="5" t="inlineStr">
        <is>
          <t>Automated AI credit decisioning for SME lending</t>
        </is>
      </c>
      <c r="H27" s="5" t="inlineStr">
        <is>
          <t>agent-research</t>
        </is>
      </c>
      <c r="I27" s="5" t="inlineStr"/>
      <c r="J27" s="5" t="inlineStr">
        <is>
          <t>Research</t>
        </is>
      </c>
      <c r="K27" s="5" t="inlineStr"/>
      <c r="L27" s="5" t="inlineStr">
        <is>
          <t>€16M; €167M Citi facility</t>
        </is>
      </c>
    </row>
    <row r="28">
      <c r="A28" s="5" t="inlineStr">
        <is>
          <t>A</t>
        </is>
      </c>
      <c r="B28" s="5" t="inlineStr">
        <is>
          <t>Mifundo</t>
        </is>
      </c>
      <c r="C28" s="5" t="inlineStr"/>
      <c r="D28" s="5" t="inlineStr"/>
      <c r="E28" s="5" t="inlineStr">
        <is>
          <t>Tallinn EE</t>
        </is>
      </c>
      <c r="F28" s="5" t="inlineStr">
        <is>
          <t>Fintech</t>
        </is>
      </c>
      <c r="G28" s="5" t="inlineStr">
        <is>
          <t>AI cross-border credit scoring</t>
        </is>
      </c>
      <c r="H28" s="5" t="inlineStr">
        <is>
          <t>agent-research</t>
        </is>
      </c>
      <c r="I28" s="5" t="inlineStr"/>
      <c r="J28" s="5" t="inlineStr">
        <is>
          <t>Research</t>
        </is>
      </c>
      <c r="K28" s="5" t="inlineStr"/>
      <c r="L28" s="5" t="inlineStr">
        <is>
          <t>€10M EIC Sep 2024; EU credit-passport</t>
        </is>
      </c>
    </row>
    <row r="29">
      <c r="A29" s="5" t="inlineStr">
        <is>
          <t>A</t>
        </is>
      </c>
      <c r="B29" s="5" t="inlineStr">
        <is>
          <t>Plend</t>
        </is>
      </c>
      <c r="C29" s="5" t="inlineStr"/>
      <c r="D29" s="5" t="inlineStr"/>
      <c r="E29" s="5" t="inlineStr">
        <is>
          <t>London UK</t>
        </is>
      </c>
      <c r="F29" s="5" t="inlineStr">
        <is>
          <t>Fintech</t>
        </is>
      </c>
      <c r="G29" s="5" t="inlineStr">
        <is>
          <t>Open-banking + AI affordability/credit scoring</t>
        </is>
      </c>
      <c r="H29" s="5" t="inlineStr">
        <is>
          <t>agent-research</t>
        </is>
      </c>
      <c r="I29" s="5" t="inlineStr"/>
      <c r="J29" s="5" t="inlineStr">
        <is>
          <t>Research</t>
        </is>
      </c>
      <c r="K29" s="5" t="inlineStr"/>
      <c r="L29" s="5" t="inlineStr">
        <is>
          <t>£40M seed; ClearScore partnership</t>
        </is>
      </c>
    </row>
    <row r="30">
      <c r="A30" s="5" t="inlineStr">
        <is>
          <t>A</t>
        </is>
      </c>
      <c r="B30" s="5" t="inlineStr">
        <is>
          <t>Baobab Insurance</t>
        </is>
      </c>
      <c r="C30" s="5" t="inlineStr"/>
      <c r="D30" s="5" t="inlineStr"/>
      <c r="E30" s="5" t="inlineStr">
        <is>
          <t>Berlin DE</t>
        </is>
      </c>
      <c r="F30" s="5" t="inlineStr">
        <is>
          <t>Insurtech</t>
        </is>
      </c>
      <c r="G30" s="5" t="inlineStr">
        <is>
          <t>AI-native cyber-risk underwriting</t>
        </is>
      </c>
      <c r="H30" s="5" t="inlineStr">
        <is>
          <t>agent-research</t>
        </is>
      </c>
      <c r="I30" s="5" t="inlineStr"/>
      <c r="J30" s="5" t="inlineStr">
        <is>
          <t>Research</t>
        </is>
      </c>
      <c r="K30" s="5" t="inlineStr"/>
      <c r="L30" s="5" t="inlineStr">
        <is>
          <t>€12M Series A Jun 2025</t>
        </is>
      </c>
    </row>
    <row r="31">
      <c r="A31" s="5" t="inlineStr">
        <is>
          <t>A</t>
        </is>
      </c>
      <c r="B31" s="5" t="inlineStr">
        <is>
          <t>Qantev</t>
        </is>
      </c>
      <c r="C31" s="5" t="inlineStr"/>
      <c r="D31" s="5" t="inlineStr"/>
      <c r="E31" s="5" t="inlineStr">
        <is>
          <t>Paris FR</t>
        </is>
      </c>
      <c r="F31" s="5" t="inlineStr">
        <is>
          <t>Insurtech</t>
        </is>
      </c>
      <c r="G31" s="5" t="inlineStr">
        <is>
          <t>AI claims platform for health/life insurers</t>
        </is>
      </c>
      <c r="H31" s="5" t="inlineStr">
        <is>
          <t>agent-research</t>
        </is>
      </c>
      <c r="I31" s="5" t="inlineStr"/>
      <c r="J31" s="5" t="inlineStr">
        <is>
          <t>Research</t>
        </is>
      </c>
      <c r="K31" s="5" t="inlineStr"/>
      <c r="L31" s="5" t="inlineStr">
        <is>
          <t>€30M Oct 2024 (Blossom)</t>
        </is>
      </c>
    </row>
    <row r="32">
      <c r="A32" s="5" t="inlineStr">
        <is>
          <t>A</t>
        </is>
      </c>
      <c r="B32" s="5" t="inlineStr">
        <is>
          <t>Sprout.ai</t>
        </is>
      </c>
      <c r="C32" s="5" t="inlineStr"/>
      <c r="D32" s="5" t="inlineStr"/>
      <c r="E32" s="5" t="inlineStr">
        <is>
          <t>London UK</t>
        </is>
      </c>
      <c r="F32" s="5" t="inlineStr">
        <is>
          <t>Insurtech</t>
        </is>
      </c>
      <c r="G32" s="5" t="inlineStr">
        <is>
          <t>GenAI/LLM claims assessment automation</t>
        </is>
      </c>
      <c r="H32" s="5" t="inlineStr">
        <is>
          <t>agent-research</t>
        </is>
      </c>
      <c r="I32" s="5" t="inlineStr"/>
      <c r="J32" s="5" t="inlineStr">
        <is>
          <t>Research</t>
        </is>
      </c>
      <c r="K32" s="5" t="inlineStr"/>
      <c r="L32" s="5" t="inlineStr">
        <is>
          <t>£5.4M; patented LLM claims tech</t>
        </is>
      </c>
    </row>
    <row r="33">
      <c r="A33" s="5" t="inlineStr">
        <is>
          <t>A</t>
        </is>
      </c>
      <c r="B33" s="5" t="inlineStr">
        <is>
          <t>ClaimSorted</t>
        </is>
      </c>
      <c r="C33" s="5" t="inlineStr"/>
      <c r="D33" s="5" t="inlineStr"/>
      <c r="E33" s="5" t="inlineStr">
        <is>
          <t>London UK</t>
        </is>
      </c>
      <c r="F33" s="5" t="inlineStr">
        <is>
          <t>Insurtech</t>
        </is>
      </c>
      <c r="G33" s="5" t="inlineStr">
        <is>
          <t>AI claims-handling automation (TPA)</t>
        </is>
      </c>
      <c r="H33" s="5" t="inlineStr">
        <is>
          <t>agent-research</t>
        </is>
      </c>
      <c r="I33" s="5" t="inlineStr"/>
      <c r="J33" s="5" t="inlineStr">
        <is>
          <t>Research</t>
        </is>
      </c>
      <c r="K33" s="5" t="inlineStr"/>
      <c r="L33" s="5" t="inlineStr">
        <is>
          <t>€11.4M seed Oct 2025</t>
        </is>
      </c>
    </row>
    <row r="34">
      <c r="A34" s="5" t="inlineStr">
        <is>
          <t>B</t>
        </is>
      </c>
      <c r="B34" s="5" t="inlineStr">
        <is>
          <t>SME Finance</t>
        </is>
      </c>
      <c r="C34" s="5" t="inlineStr"/>
      <c r="D34" s="5" t="inlineStr"/>
      <c r="E34" s="5" t="inlineStr">
        <is>
          <t>Vilnius LT</t>
        </is>
      </c>
      <c r="F34" s="5" t="inlineStr">
        <is>
          <t>Fintech</t>
        </is>
      </c>
      <c r="G34" s="5" t="inlineStr">
        <is>
          <t>AI lending decisions for SMEs &lt;1hr</t>
        </is>
      </c>
      <c r="H34" s="5" t="inlineStr">
        <is>
          <t>agent-research</t>
        </is>
      </c>
      <c r="I34" s="5" t="inlineStr"/>
      <c r="J34" s="5" t="inlineStr">
        <is>
          <t>Research</t>
        </is>
      </c>
      <c r="K34" s="5" t="inlineStr"/>
      <c r="L34" s="5" t="inlineStr">
        <is>
          <t>€40M InvestEU/EIF facility</t>
        </is>
      </c>
    </row>
    <row r="35">
      <c r="A35" s="5" t="inlineStr">
        <is>
          <t>B</t>
        </is>
      </c>
      <c r="B35" s="5" t="inlineStr">
        <is>
          <t>Creamfinance</t>
        </is>
      </c>
      <c r="C35" s="5" t="inlineStr"/>
      <c r="D35" s="5" t="inlineStr"/>
      <c r="E35" s="5" t="inlineStr">
        <is>
          <t>Warsaw PL</t>
        </is>
      </c>
      <c r="F35" s="5" t="inlineStr">
        <is>
          <t>Fintech</t>
        </is>
      </c>
      <c r="G35" s="5" t="inlineStr">
        <is>
          <t>ML consumer credit scoring on alt-data</t>
        </is>
      </c>
      <c r="H35" s="5" t="inlineStr">
        <is>
          <t>agent-research</t>
        </is>
      </c>
      <c r="I35" s="5" t="inlineStr"/>
      <c r="J35" s="5" t="inlineStr">
        <is>
          <t>Research</t>
        </is>
      </c>
      <c r="K35" s="5" t="inlineStr"/>
      <c r="L35" s="5" t="inlineStr">
        <is>
          <t>5-market scoring engine</t>
        </is>
      </c>
    </row>
    <row r="36">
      <c r="A36" s="5" t="inlineStr">
        <is>
          <t>B</t>
        </is>
      </c>
      <c r="B36" s="5" t="inlineStr">
        <is>
          <t>Bdeo</t>
        </is>
      </c>
      <c r="C36" s="5" t="inlineStr"/>
      <c r="D36" s="5" t="inlineStr"/>
      <c r="E36" s="5" t="inlineStr">
        <is>
          <t>Madrid ES</t>
        </is>
      </c>
      <c r="F36" s="5" t="inlineStr">
        <is>
          <t>Insurtech</t>
        </is>
      </c>
      <c r="G36" s="5" t="inlineStr">
        <is>
          <t>AI visual intelligence for motor claims</t>
        </is>
      </c>
      <c r="H36" s="5" t="inlineStr">
        <is>
          <t>agent-research</t>
        </is>
      </c>
      <c r="I36" s="5" t="inlineStr"/>
      <c r="J36" s="5" t="inlineStr">
        <is>
          <t>Research</t>
        </is>
      </c>
      <c r="K36" s="5" t="inlineStr"/>
      <c r="L36" s="5" t="inlineStr">
        <is>
          <t>&gt;50% Spanish motor underwriting</t>
        </is>
      </c>
    </row>
    <row r="37">
      <c r="A37" s="5" t="inlineStr">
        <is>
          <t>B</t>
        </is>
      </c>
      <c r="B37" s="5" t="inlineStr">
        <is>
          <t>Cleverea</t>
        </is>
      </c>
      <c r="C37" s="5" t="inlineStr"/>
      <c r="D37" s="5" t="inlineStr"/>
      <c r="E37" s="5" t="inlineStr">
        <is>
          <t>Barcelona ES</t>
        </is>
      </c>
      <c r="F37" s="5" t="inlineStr">
        <is>
          <t>Insurtech</t>
        </is>
      </c>
      <c r="G37" s="5" t="inlineStr">
        <is>
          <t>ML underwriting &amp; fraud (neo-insurer)</t>
        </is>
      </c>
      <c r="H37" s="5" t="inlineStr">
        <is>
          <t>agent-research</t>
        </is>
      </c>
      <c r="I37" s="5" t="inlineStr"/>
      <c r="J37" s="5" t="inlineStr">
        <is>
          <t>Research</t>
        </is>
      </c>
      <c r="K37" s="5" t="inlineStr"/>
      <c r="L37" s="5" t="inlineStr">
        <is>
          <t>€5M seed (Stride)</t>
        </is>
      </c>
    </row>
    <row r="38">
      <c r="A38" s="5" t="inlineStr">
        <is>
          <t>B</t>
        </is>
      </c>
      <c r="B38" s="5" t="inlineStr">
        <is>
          <t>omni:us</t>
        </is>
      </c>
      <c r="C38" s="5" t="inlineStr"/>
      <c r="D38" s="5" t="inlineStr"/>
      <c r="E38" s="5" t="inlineStr">
        <is>
          <t>Berlin DE</t>
        </is>
      </c>
      <c r="F38" s="5" t="inlineStr">
        <is>
          <t>Insurtech</t>
        </is>
      </c>
      <c r="G38" s="5" t="inlineStr">
        <is>
          <t>AI end-to-end claims automation</t>
        </is>
      </c>
      <c r="H38" s="5" t="inlineStr">
        <is>
          <t>agent-research</t>
        </is>
      </c>
      <c r="I38" s="5" t="inlineStr"/>
      <c r="J38" s="5" t="inlineStr">
        <is>
          <t>Research</t>
        </is>
      </c>
      <c r="K38" s="5" t="inlineStr"/>
      <c r="L38" s="5" t="inlineStr">
        <is>
          <t>Wurttembergische partnership</t>
        </is>
      </c>
    </row>
    <row r="39">
      <c r="A39" s="5" t="inlineStr">
        <is>
          <t>B</t>
        </is>
      </c>
      <c r="B39" s="5" t="inlineStr">
        <is>
          <t>MarvelX</t>
        </is>
      </c>
      <c r="C39" s="5" t="inlineStr"/>
      <c r="D39" s="5" t="inlineStr"/>
      <c r="E39" s="5" t="inlineStr">
        <is>
          <t>Amsterdam NL</t>
        </is>
      </c>
      <c r="F39" s="5" t="inlineStr">
        <is>
          <t>Insurtech</t>
        </is>
      </c>
      <c r="G39" s="5" t="inlineStr">
        <is>
          <t>AI claims/workflow automation + fraud</t>
        </is>
      </c>
      <c r="H39" s="5" t="inlineStr">
        <is>
          <t>agent-research</t>
        </is>
      </c>
      <c r="I39" s="5" t="inlineStr"/>
      <c r="J39" s="5" t="inlineStr">
        <is>
          <t>Research</t>
        </is>
      </c>
      <c r="K39" s="5" t="inlineStr"/>
      <c r="L39" s="5" t="inlineStr">
        <is>
          <t>€5.4M (EQT Ventures) May 2025</t>
        </is>
      </c>
    </row>
    <row r="40">
      <c r="A40" s="5" t="inlineStr">
        <is>
          <t>B</t>
        </is>
      </c>
      <c r="B40" s="5" t="inlineStr">
        <is>
          <t>Monto (Capcito)</t>
        </is>
      </c>
      <c r="C40" s="5" t="inlineStr"/>
      <c r="D40" s="5" t="inlineStr"/>
      <c r="E40" s="5" t="inlineStr">
        <is>
          <t>Stockholm SE</t>
        </is>
      </c>
      <c r="F40" s="5" t="inlineStr">
        <is>
          <t>Fintech</t>
        </is>
      </c>
      <c r="G40" s="5" t="inlineStr">
        <is>
          <t>Real-time AI scoring for SME credit</t>
        </is>
      </c>
      <c r="H40" s="5" t="inlineStr">
        <is>
          <t>agent-research</t>
        </is>
      </c>
      <c r="I40" s="5" t="inlineStr"/>
      <c r="J40" s="5" t="inlineStr">
        <is>
          <t>Research</t>
        </is>
      </c>
      <c r="K40" s="5" t="inlineStr"/>
      <c r="L40" s="5" t="inlineStr">
        <is>
          <t>Powers SME lender decisions</t>
        </is>
      </c>
    </row>
    <row r="41">
      <c r="A41" s="5" t="inlineStr">
        <is>
          <t>B</t>
        </is>
      </c>
      <c r="B41" s="5" t="inlineStr">
        <is>
          <t>INSRD</t>
        </is>
      </c>
      <c r="C41" s="5" t="inlineStr"/>
      <c r="D41" s="5" t="inlineStr"/>
      <c r="E41" s="5" t="inlineStr">
        <is>
          <t>Berlin DE</t>
        </is>
      </c>
      <c r="F41" s="5" t="inlineStr">
        <is>
          <t>Insurtech</t>
        </is>
      </c>
      <c r="G41" s="5" t="inlineStr">
        <is>
          <t>Industry AI for SME risk/underwriting</t>
        </is>
      </c>
      <c r="H41" s="5" t="inlineStr">
        <is>
          <t>agent-research</t>
        </is>
      </c>
      <c r="I41" s="5" t="inlineStr"/>
      <c r="J41" s="5" t="inlineStr">
        <is>
          <t>Research</t>
        </is>
      </c>
      <c r="K41" s="5" t="inlineStr"/>
      <c r="L41" s="5" t="inlineStr">
        <is>
          <t>€500k pre-seed; early fit</t>
        </is>
      </c>
    </row>
    <row r="42">
      <c r="A42" s="5" t="inlineStr">
        <is>
          <t>B</t>
        </is>
      </c>
      <c r="B42" s="5" t="inlineStr">
        <is>
          <t>Elucidate</t>
        </is>
      </c>
      <c r="C42" s="5" t="inlineStr"/>
      <c r="D42" s="5" t="inlineStr"/>
      <c r="E42" s="5" t="inlineStr">
        <is>
          <t>Berlin DE</t>
        </is>
      </c>
      <c r="F42" s="5" t="inlineStr">
        <is>
          <t>Fintech</t>
        </is>
      </c>
      <c r="G42" s="5" t="inlineStr">
        <is>
          <t>ML financial-crime risk scoring for FIs</t>
        </is>
      </c>
      <c r="H42" s="5" t="inlineStr">
        <is>
          <t>agent-research</t>
        </is>
      </c>
      <c r="I42" s="5" t="inlineStr"/>
      <c r="J42" s="5" t="inlineStr">
        <is>
          <t>Research</t>
        </is>
      </c>
      <c r="K42" s="5" t="inlineStr"/>
      <c r="L42" s="5" t="inlineStr">
        <is>
          <t>~€8M Series A; regulated FIs</t>
        </is>
      </c>
    </row>
    <row r="43">
      <c r="A43" s="5" t="inlineStr">
        <is>
          <t>B</t>
        </is>
      </c>
      <c r="B43" s="5" t="inlineStr">
        <is>
          <t>Surebird</t>
        </is>
      </c>
      <c r="C43" s="5" t="inlineStr"/>
      <c r="D43" s="5" t="inlineStr"/>
      <c r="E43" s="5" t="inlineStr">
        <is>
          <t>Amsterdam NL</t>
        </is>
      </c>
      <c r="F43" s="5" t="inlineStr">
        <is>
          <t>Insurtech</t>
        </is>
      </c>
      <c r="G43" s="5" t="inlineStr">
        <is>
          <t>AI insurance underwriting/ops automation</t>
        </is>
      </c>
      <c r="H43" s="5" t="inlineStr">
        <is>
          <t>agent-research</t>
        </is>
      </c>
      <c r="I43" s="5" t="inlineStr"/>
      <c r="J43" s="5" t="inlineStr">
        <is>
          <t>Research</t>
        </is>
      </c>
      <c r="K43" s="5" t="inlineStr"/>
      <c r="L43" s="5" t="inlineStr">
        <is>
          <t>Recent funding; early-stage</t>
        </is>
      </c>
    </row>
    <row r="44">
      <c r="A44" s="5" t="inlineStr">
        <is>
          <t>C</t>
        </is>
      </c>
      <c r="B44" s="5" t="inlineStr">
        <is>
          <t>Akur8</t>
        </is>
      </c>
      <c r="C44" s="5" t="inlineStr"/>
      <c r="D44" s="5" t="inlineStr"/>
      <c r="E44" s="5" t="inlineStr">
        <is>
          <t>Paris FR</t>
        </is>
      </c>
      <c r="F44" s="5" t="inlineStr">
        <is>
          <t>Insurtech</t>
        </is>
      </c>
      <c r="G44" s="5" t="inlineStr">
        <is>
          <t>ML actuarial pricing &amp; reserving</t>
        </is>
      </c>
      <c r="H44" s="5" t="inlineStr">
        <is>
          <t>agent-research</t>
        </is>
      </c>
      <c r="I44" s="5" t="inlineStr"/>
      <c r="J44" s="5" t="inlineStr">
        <is>
          <t>Research</t>
        </is>
      </c>
      <c r="K44" s="5" t="inlineStr"/>
      <c r="L44" s="5" t="inlineStr">
        <is>
          <t>$120M Series C; 300+ insurers</t>
        </is>
      </c>
    </row>
    <row r="45">
      <c r="A45" s="5" t="inlineStr">
        <is>
          <t>C</t>
        </is>
      </c>
      <c r="B45" s="5" t="inlineStr">
        <is>
          <t>Descartes Underwriting</t>
        </is>
      </c>
      <c r="C45" s="5" t="inlineStr"/>
      <c r="D45" s="5" t="inlineStr"/>
      <c r="E45" s="5" t="inlineStr">
        <is>
          <t>Paris FR</t>
        </is>
      </c>
      <c r="F45" s="5" t="inlineStr">
        <is>
          <t>Insurtech</t>
        </is>
      </c>
      <c r="G45" s="5" t="inlineStr">
        <is>
          <t>AI parametric risk underwriting</t>
        </is>
      </c>
      <c r="H45" s="5" t="inlineStr">
        <is>
          <t>agent-research</t>
        </is>
      </c>
      <c r="I45" s="5" t="inlineStr"/>
      <c r="J45" s="5" t="inlineStr">
        <is>
          <t>Research</t>
        </is>
      </c>
      <c r="K45" s="5" t="inlineStr"/>
      <c r="L45" s="5" t="inlineStr">
        <is>
          <t>$120M Series B; Generali</t>
        </is>
      </c>
    </row>
    <row r="46">
      <c r="A46" s="5" t="inlineStr">
        <is>
          <t>C</t>
        </is>
      </c>
      <c r="B46" s="5" t="inlineStr">
        <is>
          <t>Abound</t>
        </is>
      </c>
      <c r="C46" s="5" t="inlineStr"/>
      <c r="D46" s="5" t="inlineStr"/>
      <c r="E46" s="5" t="inlineStr">
        <is>
          <t>London UK</t>
        </is>
      </c>
      <c r="F46" s="5" t="inlineStr">
        <is>
          <t>Fintech</t>
        </is>
      </c>
      <c r="G46" s="5" t="inlineStr">
        <is>
          <t>AI cashflow underwriting on Open Banking</t>
        </is>
      </c>
      <c r="H46" s="5" t="inlineStr">
        <is>
          <t>agent-research</t>
        </is>
      </c>
      <c r="I46" s="5" t="inlineStr"/>
      <c r="J46" s="5" t="inlineStr">
        <is>
          <t>Research</t>
        </is>
      </c>
      <c r="K46" s="5" t="inlineStr"/>
      <c r="L46" s="5" t="inlineStr">
        <is>
          <t>£250M Deutsche Bank facility</t>
        </is>
      </c>
    </row>
    <row r="47">
      <c r="A47" s="5" t="inlineStr">
        <is>
          <t>A</t>
        </is>
      </c>
      <c r="B47" s="5" t="inlineStr">
        <is>
          <t>Robin AI</t>
        </is>
      </c>
      <c r="C47" s="5" t="inlineStr"/>
      <c r="D47" s="5" t="inlineStr"/>
      <c r="E47" s="5" t="inlineStr">
        <is>
          <t>London UK</t>
        </is>
      </c>
      <c r="F47" s="5" t="inlineStr">
        <is>
          <t>Legal-tech</t>
        </is>
      </c>
      <c r="G47" s="5" t="inlineStr">
        <is>
          <t>LLM contract review (2M+ contracts)</t>
        </is>
      </c>
      <c r="H47" s="5" t="inlineStr">
        <is>
          <t>agent-research</t>
        </is>
      </c>
      <c r="I47" s="5" t="inlineStr"/>
      <c r="J47" s="5" t="inlineStr">
        <is>
          <t>Research</t>
        </is>
      </c>
      <c r="K47" s="5" t="inlineStr"/>
      <c r="L47" s="5" t="inlineStr">
        <is>
          <t>$26M Series B+ Nov 2024</t>
        </is>
      </c>
    </row>
    <row r="48">
      <c r="A48" s="5" t="inlineStr">
        <is>
          <t>A</t>
        </is>
      </c>
      <c r="B48" s="5" t="inlineStr">
        <is>
          <t>Genie AI</t>
        </is>
      </c>
      <c r="C48" s="5" t="inlineStr"/>
      <c r="D48" s="5" t="inlineStr"/>
      <c r="E48" s="5" t="inlineStr">
        <is>
          <t>London UK</t>
        </is>
      </c>
      <c r="F48" s="5" t="inlineStr">
        <is>
          <t>Legal-tech</t>
        </is>
      </c>
      <c r="G48" s="5" t="inlineStr">
        <is>
          <t>LLM drafting + review of legal docs</t>
        </is>
      </c>
      <c r="H48" s="5" t="inlineStr">
        <is>
          <t>agent-research</t>
        </is>
      </c>
      <c r="I48" s="5" t="inlineStr"/>
      <c r="J48" s="5" t="inlineStr">
        <is>
          <t>Research</t>
        </is>
      </c>
      <c r="K48" s="5" t="inlineStr"/>
      <c r="L48" s="5" t="inlineStr">
        <is>
          <t>$17.8M Series A (GV) Oct 2024</t>
        </is>
      </c>
    </row>
    <row r="49">
      <c r="A49" s="5" t="inlineStr">
        <is>
          <t>A</t>
        </is>
      </c>
      <c r="B49" s="5" t="inlineStr">
        <is>
          <t>Leya</t>
        </is>
      </c>
      <c r="C49" s="5" t="inlineStr"/>
      <c r="D49" s="5" t="inlineStr"/>
      <c r="E49" s="5" t="inlineStr">
        <is>
          <t>Stockholm SE</t>
        </is>
      </c>
      <c r="F49" s="5" t="inlineStr">
        <is>
          <t>Legal-tech</t>
        </is>
      </c>
      <c r="G49" s="5" t="inlineStr">
        <is>
          <t>LLM assistant review/search/drafting</t>
        </is>
      </c>
      <c r="H49" s="5" t="inlineStr">
        <is>
          <t>agent-research</t>
        </is>
      </c>
      <c r="I49" s="5" t="inlineStr"/>
      <c r="J49" s="5" t="inlineStr">
        <is>
          <t>Research</t>
        </is>
      </c>
      <c r="K49" s="5" t="inlineStr"/>
      <c r="L49" s="5" t="inlineStr">
        <is>
          <t>$25M Series A (Redpoint); 70+ firms</t>
        </is>
      </c>
    </row>
    <row r="50">
      <c r="A50" s="5" t="inlineStr">
        <is>
          <t>A</t>
        </is>
      </c>
      <c r="B50" s="5" t="inlineStr">
        <is>
          <t>Garfield AI</t>
        </is>
      </c>
      <c r="C50" s="5" t="inlineStr"/>
      <c r="D50" s="5" t="inlineStr"/>
      <c r="E50" s="5" t="inlineStr">
        <is>
          <t>London UK</t>
        </is>
      </c>
      <c r="F50" s="5" t="inlineStr">
        <is>
          <t>Legal-tech</t>
        </is>
      </c>
      <c r="G50" s="5" t="inlineStr">
        <is>
          <t>LLM litigation assistant (debt recovery)</t>
        </is>
      </c>
      <c r="H50" s="5" t="inlineStr">
        <is>
          <t>agent-research</t>
        </is>
      </c>
      <c r="I50" s="5" t="inlineStr"/>
      <c r="J50" s="5" t="inlineStr">
        <is>
          <t>Research</t>
        </is>
      </c>
      <c r="K50" s="5" t="inlineStr"/>
      <c r="L50" s="5" t="inlineStr">
        <is>
          <t>First SRA-authorised AI law firm 2025</t>
        </is>
      </c>
    </row>
    <row r="51">
      <c r="A51" s="5" t="inlineStr">
        <is>
          <t>A</t>
        </is>
      </c>
      <c r="B51" s="5" t="inlineStr">
        <is>
          <t>Noxtua</t>
        </is>
      </c>
      <c r="C51" s="5" t="inlineStr"/>
      <c r="D51" s="5" t="inlineStr"/>
      <c r="E51" s="5" t="inlineStr">
        <is>
          <t>Berlin DE</t>
        </is>
      </c>
      <c r="F51" s="5" t="inlineStr">
        <is>
          <t>Legal-tech</t>
        </is>
      </c>
      <c r="G51" s="5" t="inlineStr">
        <is>
          <t>Sovereign legal LLM (German law)</t>
        </is>
      </c>
      <c r="H51" s="5" t="inlineStr">
        <is>
          <t>agent-research</t>
        </is>
      </c>
      <c r="I51" s="5" t="inlineStr"/>
      <c r="J51" s="5" t="inlineStr">
        <is>
          <t>Research</t>
        </is>
      </c>
      <c r="K51" s="5" t="inlineStr"/>
      <c r="L51" s="5" t="inlineStr">
        <is>
          <t>€80.7M Series B (C.H. Beck)</t>
        </is>
      </c>
    </row>
    <row r="52">
      <c r="A52" s="5" t="inlineStr">
        <is>
          <t>B</t>
        </is>
      </c>
      <c r="B52" s="5" t="inlineStr">
        <is>
          <t>Definely</t>
        </is>
      </c>
      <c r="C52" s="5" t="inlineStr"/>
      <c r="D52" s="5" t="inlineStr"/>
      <c r="E52" s="5" t="inlineStr">
        <is>
          <t>London UK</t>
        </is>
      </c>
      <c r="F52" s="5" t="inlineStr">
        <is>
          <t>Legal-tech</t>
        </is>
      </c>
      <c r="G52" s="5" t="inlineStr">
        <is>
          <t>AI contract drafting/review (Cascade)</t>
        </is>
      </c>
      <c r="H52" s="5" t="inlineStr">
        <is>
          <t>agent-research</t>
        </is>
      </c>
      <c r="I52" s="5" t="inlineStr"/>
      <c r="J52" s="5" t="inlineStr">
        <is>
          <t>Research</t>
        </is>
      </c>
      <c r="K52" s="5" t="inlineStr"/>
      <c r="L52" s="5" t="inlineStr">
        <is>
          <t>Magic Circle clients</t>
        </is>
      </c>
    </row>
    <row r="53">
      <c r="A53" s="5" t="inlineStr">
        <is>
          <t>B</t>
        </is>
      </c>
      <c r="B53" s="5" t="inlineStr">
        <is>
          <t>Luminance</t>
        </is>
      </c>
      <c r="C53" s="5" t="inlineStr"/>
      <c r="D53" s="5" t="inlineStr"/>
      <c r="E53" s="5" t="inlineStr">
        <is>
          <t>Cambridge UK</t>
        </is>
      </c>
      <c r="F53" s="5" t="inlineStr">
        <is>
          <t>Legal-tech</t>
        </is>
      </c>
      <c r="G53" s="5" t="inlineStr">
        <is>
          <t>Proprietary LLM contract review</t>
        </is>
      </c>
      <c r="H53" s="5" t="inlineStr">
        <is>
          <t>agent-research</t>
        </is>
      </c>
      <c r="I53" s="5" t="inlineStr"/>
      <c r="J53" s="5" t="inlineStr">
        <is>
          <t>Research</t>
        </is>
      </c>
      <c r="K53" s="5" t="inlineStr"/>
      <c r="L53" s="5" t="inlineStr">
        <is>
          <t>$75M Series C; runs large</t>
        </is>
      </c>
    </row>
    <row r="54">
      <c r="A54" s="5" t="inlineStr">
        <is>
          <t>B</t>
        </is>
      </c>
      <c r="B54" s="5" t="inlineStr">
        <is>
          <t>LawX</t>
        </is>
      </c>
      <c r="C54" s="5" t="inlineStr"/>
      <c r="D54" s="5" t="inlineStr"/>
      <c r="E54" s="5" t="inlineStr">
        <is>
          <t>Berlin DE</t>
        </is>
      </c>
      <c r="F54" s="5" t="inlineStr">
        <is>
          <t>Legal-tech</t>
        </is>
      </c>
      <c r="G54" s="5" t="inlineStr">
        <is>
          <t>AI OS / back-office layer for legal</t>
        </is>
      </c>
      <c r="H54" s="5" t="inlineStr">
        <is>
          <t>agent-research</t>
        </is>
      </c>
      <c r="I54" s="5" t="inlineStr"/>
      <c r="J54" s="5" t="inlineStr">
        <is>
          <t>Research</t>
        </is>
      </c>
      <c r="K54" s="5" t="inlineStr"/>
      <c r="L54" s="5" t="inlineStr">
        <is>
          <t>€7.5M (Motive Partners)</t>
        </is>
      </c>
    </row>
    <row r="55">
      <c r="A55" s="5" t="inlineStr">
        <is>
          <t>B</t>
        </is>
      </c>
      <c r="B55" s="5" t="inlineStr">
        <is>
          <t>Tomorro</t>
        </is>
      </c>
      <c r="C55" s="5" t="inlineStr"/>
      <c r="D55" s="5" t="inlineStr"/>
      <c r="E55" s="5" t="inlineStr">
        <is>
          <t>Paris FR</t>
        </is>
      </c>
      <c r="F55" s="5" t="inlineStr">
        <is>
          <t>Legal-tech</t>
        </is>
      </c>
      <c r="G55" s="5" t="inlineStr">
        <is>
          <t>AI contract drafting/negotiation (CLM)</t>
        </is>
      </c>
      <c r="H55" s="5" t="inlineStr">
        <is>
          <t>agent-research</t>
        </is>
      </c>
      <c r="I55" s="5" t="inlineStr"/>
      <c r="J55" s="5" t="inlineStr">
        <is>
          <t>Research</t>
        </is>
      </c>
      <c r="K55" s="5" t="inlineStr"/>
      <c r="L55" s="5" t="inlineStr">
        <is>
          <t>France Legaltech program</t>
        </is>
      </c>
    </row>
    <row r="56">
      <c r="A56" s="5" t="inlineStr">
        <is>
          <t>B</t>
        </is>
      </c>
      <c r="B56" s="5" t="inlineStr">
        <is>
          <t>Saga</t>
        </is>
      </c>
      <c r="C56" s="5" t="inlineStr"/>
      <c r="D56" s="5" t="inlineStr"/>
      <c r="E56" s="5" t="inlineStr">
        <is>
          <t>Amsterdam NL</t>
        </is>
      </c>
      <c r="F56" s="5" t="inlineStr">
        <is>
          <t>Legal-tech</t>
        </is>
      </c>
      <c r="G56" s="5" t="inlineStr">
        <is>
          <t>Agentic LLM legal work assistants</t>
        </is>
      </c>
      <c r="H56" s="5" t="inlineStr">
        <is>
          <t>agent-research</t>
        </is>
      </c>
      <c r="I56" s="5" t="inlineStr"/>
      <c r="J56" s="5" t="inlineStr">
        <is>
          <t>Research</t>
        </is>
      </c>
      <c r="K56" s="5" t="inlineStr"/>
      <c r="L56" s="5" t="inlineStr">
        <is>
          <t>€1.5M+ seed Oct 2025</t>
        </is>
      </c>
    </row>
    <row r="57">
      <c r="A57" s="5" t="inlineStr">
        <is>
          <t>B</t>
        </is>
      </c>
      <c r="B57" s="5" t="inlineStr">
        <is>
          <t>Henchman</t>
        </is>
      </c>
      <c r="C57" s="5" t="inlineStr"/>
      <c r="D57" s="5" t="inlineStr"/>
      <c r="E57" s="5" t="inlineStr">
        <is>
          <t>Ghent BE</t>
        </is>
      </c>
      <c r="F57" s="5" t="inlineStr">
        <is>
          <t>Legal-tech</t>
        </is>
      </c>
      <c r="G57" s="5" t="inlineStr">
        <is>
          <t>GPT contract drafting/clause retrieval</t>
        </is>
      </c>
      <c r="H57" s="5" t="inlineStr">
        <is>
          <t>agent-research</t>
        </is>
      </c>
      <c r="I57" s="5" t="inlineStr"/>
      <c r="J57" s="5" t="inlineStr">
        <is>
          <t>Research</t>
        </is>
      </c>
      <c r="K57" s="5" t="inlineStr"/>
      <c r="L57" s="5" t="inlineStr">
        <is>
          <t>Acquired by LexisNexis Jun 2024</t>
        </is>
      </c>
    </row>
    <row r="58">
      <c r="A58" s="5" t="inlineStr">
        <is>
          <t>B</t>
        </is>
      </c>
      <c r="B58" s="5" t="inlineStr">
        <is>
          <t>Brightflag</t>
        </is>
      </c>
      <c r="C58" s="5" t="inlineStr"/>
      <c r="D58" s="5" t="inlineStr"/>
      <c r="E58" s="5" t="inlineStr">
        <is>
          <t>Dublin IE</t>
        </is>
      </c>
      <c r="F58" s="5" t="inlineStr">
        <is>
          <t>Legal-tech</t>
        </is>
      </c>
      <c r="G58" s="5" t="inlineStr">
        <is>
          <t>AI legal-spend analysis &amp; matter classification</t>
        </is>
      </c>
      <c r="H58" s="5" t="inlineStr">
        <is>
          <t>agent-research</t>
        </is>
      </c>
      <c r="I58" s="5" t="inlineStr"/>
      <c r="J58" s="5" t="inlineStr">
        <is>
          <t>Research</t>
        </is>
      </c>
      <c r="K58" s="5" t="inlineStr"/>
      <c r="L58" s="5" t="inlineStr">
        <is>
          <t>NLP on legal data; Series A+</t>
        </is>
      </c>
    </row>
    <row r="59">
      <c r="A59" s="5" t="inlineStr">
        <is>
          <t>A</t>
        </is>
      </c>
      <c r="B59" s="5" t="inlineStr">
        <is>
          <t>TORTUS AI</t>
        </is>
      </c>
      <c r="C59" s="5" t="inlineStr"/>
      <c r="D59" s="5" t="inlineStr"/>
      <c r="E59" s="5" t="inlineStr">
        <is>
          <t>London UK</t>
        </is>
      </c>
      <c r="F59" s="5" t="inlineStr">
        <is>
          <t>Health-tech</t>
        </is>
      </c>
      <c r="G59" s="5" t="inlineStr">
        <is>
          <t>GenAI ambient clinical scribe</t>
        </is>
      </c>
      <c r="H59" s="5" t="inlineStr">
        <is>
          <t>agent-research</t>
        </is>
      </c>
      <c r="I59" s="5" t="inlineStr"/>
      <c r="J59" s="5" t="inlineStr">
        <is>
          <t>Research</t>
        </is>
      </c>
      <c r="K59" s="5" t="inlineStr"/>
      <c r="L59" s="5" t="inlineStr">
        <is>
          <t>Largest NHS AI-scribe trial 2025</t>
        </is>
      </c>
    </row>
    <row r="60">
      <c r="A60" s="5" t="inlineStr">
        <is>
          <t>A</t>
        </is>
      </c>
      <c r="B60" s="5" t="inlineStr">
        <is>
          <t>Anima Health</t>
        </is>
      </c>
      <c r="C60" s="5" t="inlineStr"/>
      <c r="D60" s="5" t="inlineStr"/>
      <c r="E60" s="5" t="inlineStr">
        <is>
          <t>London UK</t>
        </is>
      </c>
      <c r="F60" s="5" t="inlineStr">
        <is>
          <t>Health-tech</t>
        </is>
      </c>
      <c r="G60" s="5" t="inlineStr">
        <is>
          <t>AI clinical triage &amp; care-navigation</t>
        </is>
      </c>
      <c r="H60" s="5" t="inlineStr">
        <is>
          <t>agent-research</t>
        </is>
      </c>
      <c r="I60" s="5" t="inlineStr"/>
      <c r="J60" s="5" t="inlineStr">
        <is>
          <t>Research</t>
        </is>
      </c>
      <c r="K60" s="5" t="inlineStr"/>
      <c r="L60" s="5" t="inlineStr">
        <is>
          <t>$12M Series A (Molten); 300+ NHS practices</t>
        </is>
      </c>
    </row>
    <row r="61">
      <c r="A61" s="5" t="inlineStr">
        <is>
          <t>A</t>
        </is>
      </c>
      <c r="B61" s="5" t="inlineStr">
        <is>
          <t>Corti</t>
        </is>
      </c>
      <c r="C61" s="5" t="inlineStr"/>
      <c r="D61" s="5" t="inlineStr"/>
      <c r="E61" s="5" t="inlineStr">
        <is>
          <t>Copenhagen DK</t>
        </is>
      </c>
      <c r="F61" s="5" t="inlineStr">
        <is>
          <t>Health-tech</t>
        </is>
      </c>
      <c r="G61" s="5" t="inlineStr">
        <is>
          <t>Clinical-reasoning LLM for consultations</t>
        </is>
      </c>
      <c r="H61" s="5" t="inlineStr">
        <is>
          <t>agent-research</t>
        </is>
      </c>
      <c r="I61" s="5" t="inlineStr"/>
      <c r="J61" s="5" t="inlineStr">
        <is>
          <t>Research</t>
        </is>
      </c>
      <c r="K61" s="5" t="inlineStr"/>
      <c r="L61" s="5" t="inlineStr">
        <is>
          <t>Launched FactsR agentic reasoning Jun 2025</t>
        </is>
      </c>
    </row>
    <row r="62">
      <c r="A62" s="5" t="inlineStr">
        <is>
          <t>B</t>
        </is>
      </c>
      <c r="B62" s="5" t="inlineStr">
        <is>
          <t>Visiba Care</t>
        </is>
      </c>
      <c r="C62" s="5" t="inlineStr"/>
      <c r="D62" s="5" t="inlineStr"/>
      <c r="E62" s="5" t="inlineStr">
        <is>
          <t>Gothenburg SE</t>
        </is>
      </c>
      <c r="F62" s="5" t="inlineStr">
        <is>
          <t>Health-tech</t>
        </is>
      </c>
      <c r="G62" s="5" t="inlineStr">
        <is>
          <t>AI symptom triage (CE-marked device)</t>
        </is>
      </c>
      <c r="H62" s="5" t="inlineStr">
        <is>
          <t>agent-research</t>
        </is>
      </c>
      <c r="I62" s="5" t="inlineStr"/>
      <c r="J62" s="5" t="inlineStr">
        <is>
          <t>Research</t>
        </is>
      </c>
      <c r="K62" s="5" t="inlineStr"/>
      <c r="L62" s="5" t="inlineStr">
        <is>
          <t>Deployed in NHS 111</t>
        </is>
      </c>
    </row>
    <row r="63">
      <c r="A63" s="5" t="inlineStr">
        <is>
          <t>B</t>
        </is>
      </c>
      <c r="B63" s="5" t="inlineStr">
        <is>
          <t>Klinik</t>
        </is>
      </c>
      <c r="C63" s="5" t="inlineStr"/>
      <c r="D63" s="5" t="inlineStr"/>
      <c r="E63" s="5" t="inlineStr">
        <is>
          <t>Helsinki FI</t>
        </is>
      </c>
      <c r="F63" s="5" t="inlineStr">
        <is>
          <t>Health-tech</t>
        </is>
      </c>
      <c r="G63" s="5" t="inlineStr">
        <is>
          <t>AI total-triage 1000+ symptoms</t>
        </is>
      </c>
      <c r="H63" s="5" t="inlineStr">
        <is>
          <t>agent-research</t>
        </is>
      </c>
      <c r="I63" s="5" t="inlineStr"/>
      <c r="J63" s="5" t="inlineStr">
        <is>
          <t>Research</t>
        </is>
      </c>
      <c r="K63" s="5" t="inlineStr"/>
      <c r="L63" s="5" t="inlineStr">
        <is>
          <t>CE-marked; EU+UK expansion</t>
        </is>
      </c>
    </row>
    <row r="64">
      <c r="A64" s="5" t="inlineStr">
        <is>
          <t>B</t>
        </is>
      </c>
      <c r="B64" s="5" t="inlineStr">
        <is>
          <t>Symptoma</t>
        </is>
      </c>
      <c r="C64" s="5" t="inlineStr"/>
      <c r="D64" s="5" t="inlineStr"/>
      <c r="E64" s="5" t="inlineStr">
        <is>
          <t>Salzburg AT</t>
        </is>
      </c>
      <c r="F64" s="5" t="inlineStr">
        <is>
          <t>Health-tech</t>
        </is>
      </c>
      <c r="G64" s="5" t="inlineStr">
        <is>
          <t>AI symptom checker 20k+ diseases</t>
        </is>
      </c>
      <c r="H64" s="5" t="inlineStr">
        <is>
          <t>agent-research</t>
        </is>
      </c>
      <c r="I64" s="5" t="inlineStr"/>
      <c r="J64" s="5" t="inlineStr">
        <is>
          <t>Research</t>
        </is>
      </c>
      <c r="K64" s="5" t="inlineStr"/>
      <c r="L64" s="5" t="inlineStr">
        <is>
          <t>In NHS AI-triage landscape</t>
        </is>
      </c>
    </row>
    <row r="65">
      <c r="A65" s="5" t="inlineStr">
        <is>
          <t>B</t>
        </is>
      </c>
      <c r="B65" s="5" t="inlineStr">
        <is>
          <t>Mediktor</t>
        </is>
      </c>
      <c r="C65" s="5" t="inlineStr"/>
      <c r="D65" s="5" t="inlineStr"/>
      <c r="E65" s="5" t="inlineStr">
        <is>
          <t>Barcelona ES</t>
        </is>
      </c>
      <c r="F65" s="5" t="inlineStr">
        <is>
          <t>Health-tech</t>
        </is>
      </c>
      <c r="G65" s="5" t="inlineStr">
        <is>
          <t>LLM conversational digital triage</t>
        </is>
      </c>
      <c r="H65" s="5" t="inlineStr">
        <is>
          <t>agent-research</t>
        </is>
      </c>
      <c r="I65" s="5" t="inlineStr"/>
      <c r="J65" s="5" t="inlineStr">
        <is>
          <t>Research</t>
        </is>
      </c>
      <c r="K65" s="5" t="inlineStr"/>
      <c r="L65" s="5" t="inlineStr">
        <is>
          <t>Clinically validated LLM triage</t>
        </is>
      </c>
    </row>
    <row r="66">
      <c r="A66" s="5" t="inlineStr">
        <is>
          <t>B</t>
        </is>
      </c>
      <c r="B66" s="5" t="inlineStr">
        <is>
          <t>Quibim</t>
        </is>
      </c>
      <c r="C66" s="5" t="inlineStr"/>
      <c r="D66" s="5" t="inlineStr"/>
      <c r="E66" s="5" t="inlineStr">
        <is>
          <t>Valencia ES</t>
        </is>
      </c>
      <c r="F66" s="5" t="inlineStr">
        <is>
          <t>Health-tech</t>
        </is>
      </c>
      <c r="G66" s="5" t="inlineStr">
        <is>
          <t>AI radiology/imaging biomarkers</t>
        </is>
      </c>
      <c r="H66" s="5" t="inlineStr">
        <is>
          <t>agent-research</t>
        </is>
      </c>
      <c r="I66" s="5" t="inlineStr"/>
      <c r="J66" s="5" t="inlineStr">
        <is>
          <t>Research</t>
        </is>
      </c>
      <c r="K66" s="5" t="inlineStr"/>
      <c r="L66" s="5" t="inlineStr">
        <is>
          <t>$50M Series A; 170+ installations</t>
        </is>
      </c>
    </row>
    <row r="67">
      <c r="A67" s="5" t="inlineStr">
        <is>
          <t>A</t>
        </is>
      </c>
      <c r="B67" s="5" t="inlineStr">
        <is>
          <t>X0PA AI</t>
        </is>
      </c>
      <c r="C67" s="5" t="inlineStr"/>
      <c r="D67" s="5" t="inlineStr"/>
      <c r="E67" s="5" t="inlineStr">
        <is>
          <t>Singapore</t>
        </is>
      </c>
      <c r="F67" s="5" t="inlineStr">
        <is>
          <t>HR-tech</t>
        </is>
      </c>
      <c r="G67" s="5" t="inlineStr">
        <is>
          <t>AI screens/ranks/scores candidates</t>
        </is>
      </c>
      <c r="H67" s="5" t="inlineStr">
        <is>
          <t>agent-research</t>
        </is>
      </c>
      <c r="I67" s="5" t="inlineStr"/>
      <c r="J67" s="5" t="inlineStr">
        <is>
          <t>Research</t>
        </is>
      </c>
      <c r="K67" s="5" t="inlineStr"/>
      <c r="L67" s="5" t="inlineStr">
        <is>
          <t>Endorsed by SG AI Verify; Samsung/gov clients</t>
        </is>
      </c>
    </row>
    <row r="68">
      <c r="A68" s="5" t="inlineStr">
        <is>
          <t>A</t>
        </is>
      </c>
      <c r="B68" s="5" t="inlineStr">
        <is>
          <t>finbots.ai</t>
        </is>
      </c>
      <c r="C68" s="5" t="inlineStr"/>
      <c r="D68" s="5" t="inlineStr"/>
      <c r="E68" s="5" t="inlineStr">
        <is>
          <t>Singapore</t>
        </is>
      </c>
      <c r="F68" s="5" t="inlineStr">
        <is>
          <t>Fintech</t>
        </is>
      </c>
      <c r="G68" s="5" t="inlineStr">
        <is>
          <t>creditX AI builds credit-risk scorecards</t>
        </is>
      </c>
      <c r="H68" s="5" t="inlineStr">
        <is>
          <t>agent-research</t>
        </is>
      </c>
      <c r="I68" s="5" t="inlineStr"/>
      <c r="J68" s="5" t="inlineStr">
        <is>
          <t>Research</t>
        </is>
      </c>
      <c r="K68" s="5" t="inlineStr"/>
      <c r="L68" s="5" t="inlineStr">
        <is>
          <t>MAS Veritas + AI Verify; digital-bank client</t>
        </is>
      </c>
    </row>
    <row r="69">
      <c r="A69" s="5" t="inlineStr">
        <is>
          <t>A</t>
        </is>
      </c>
      <c r="B69" s="5" t="inlineStr">
        <is>
          <t>Tabby</t>
        </is>
      </c>
      <c r="C69" s="5" t="inlineStr"/>
      <c r="D69" s="5" t="inlineStr"/>
      <c r="E69" s="5" t="inlineStr">
        <is>
          <t>Dubai UAE</t>
        </is>
      </c>
      <c r="F69" s="5" t="inlineStr">
        <is>
          <t>Fintech</t>
        </is>
      </c>
      <c r="G69" s="5" t="inlineStr">
        <is>
          <t>Real-time AI underwriting at checkout (BNPL)</t>
        </is>
      </c>
      <c r="H69" s="5" t="inlineStr">
        <is>
          <t>agent-research</t>
        </is>
      </c>
      <c r="I69" s="5" t="inlineStr"/>
      <c r="J69" s="5" t="inlineStr">
        <is>
          <t>Research</t>
        </is>
      </c>
      <c r="K69" s="5" t="inlineStr"/>
      <c r="L69" s="5" t="inlineStr">
        <is>
          <t>$160M Series E at $3.3B; IPO underway</t>
        </is>
      </c>
    </row>
    <row r="70">
      <c r="A70" s="5" t="inlineStr">
        <is>
          <t>A</t>
        </is>
      </c>
      <c r="B70" s="5" t="inlineStr">
        <is>
          <t>Bayzat</t>
        </is>
      </c>
      <c r="C70" s="5" t="inlineStr"/>
      <c r="D70" s="5" t="inlineStr"/>
      <c r="E70" s="5" t="inlineStr">
        <is>
          <t>Dubai UAE</t>
        </is>
      </c>
      <c r="F70" s="5" t="inlineStr">
        <is>
          <t>HR-tech</t>
        </is>
      </c>
      <c r="G70" s="5" t="inlineStr">
        <is>
          <t>HR/payroll AI + anomaly detection</t>
        </is>
      </c>
      <c r="H70" s="5" t="inlineStr">
        <is>
          <t>agent-research</t>
        </is>
      </c>
      <c r="I70" s="5" t="inlineStr"/>
      <c r="J70" s="5" t="inlineStr">
        <is>
          <t>Research</t>
        </is>
      </c>
      <c r="K70" s="5" t="inlineStr"/>
      <c r="L70" s="5" t="inlineStr">
        <is>
          <t>$60M+ (Point72/Mubadala); 4000+ companies</t>
        </is>
      </c>
    </row>
    <row r="71">
      <c r="A71" s="5" t="inlineStr">
        <is>
          <t>A</t>
        </is>
      </c>
      <c r="B71" s="5" t="inlineStr">
        <is>
          <t>Igloo</t>
        </is>
      </c>
      <c r="C71" s="5" t="inlineStr"/>
      <c r="D71" s="5" t="inlineStr"/>
      <c r="E71" s="5" t="inlineStr">
        <is>
          <t>Singapore</t>
        </is>
      </c>
      <c r="F71" s="5" t="inlineStr">
        <is>
          <t>Insurtech</t>
        </is>
      </c>
      <c r="G71" s="5" t="inlineStr">
        <is>
          <t>Real-time risk + AI underwriting/claims</t>
        </is>
      </c>
      <c r="H71" s="5" t="inlineStr">
        <is>
          <t>agent-research</t>
        </is>
      </c>
      <c r="I71" s="5" t="inlineStr"/>
      <c r="J71" s="5" t="inlineStr">
        <is>
          <t>Research</t>
        </is>
      </c>
      <c r="K71" s="5" t="inlineStr"/>
      <c r="L71" s="5" t="inlineStr">
        <is>
          <t>~$100M raised; AI-native by 2026; Tokio Marine</t>
        </is>
      </c>
    </row>
    <row r="72">
      <c r="A72" s="5" t="inlineStr">
        <is>
          <t>A</t>
        </is>
      </c>
      <c r="B72" s="5" t="inlineStr">
        <is>
          <t>NymCard</t>
        </is>
      </c>
      <c r="C72" s="5" t="inlineStr"/>
      <c r="D72" s="5" t="inlineStr"/>
      <c r="E72" s="5" t="inlineStr">
        <is>
          <t>Abu Dhabi UAE</t>
        </is>
      </c>
      <c r="F72" s="5" t="inlineStr">
        <is>
          <t>Fintech</t>
        </is>
      </c>
      <c r="G72" s="5" t="inlineStr">
        <is>
          <t>AI credit decisioning + loan servicing</t>
        </is>
      </c>
      <c r="H72" s="5" t="inlineStr">
        <is>
          <t>agent-research</t>
        </is>
      </c>
      <c r="I72" s="5" t="inlineStr"/>
      <c r="J72" s="5" t="inlineStr">
        <is>
          <t>Research</t>
        </is>
      </c>
      <c r="K72" s="5" t="inlineStr"/>
      <c r="L72" s="5" t="inlineStr">
        <is>
          <t>Central Bank UAE licensed; MENA embedded lending</t>
        </is>
      </c>
    </row>
    <row r="73">
      <c r="A73" s="5" t="inlineStr">
        <is>
          <t>A</t>
        </is>
      </c>
      <c r="B73" s="5" t="inlineStr">
        <is>
          <t>Tamara</t>
        </is>
      </c>
      <c r="C73" s="5" t="inlineStr"/>
      <c r="D73" s="5" t="inlineStr"/>
      <c r="E73" s="5" t="inlineStr">
        <is>
          <t>Riyadh SA</t>
        </is>
      </c>
      <c r="F73" s="5" t="inlineStr">
        <is>
          <t>Fintech</t>
        </is>
      </c>
      <c r="G73" s="5" t="inlineStr">
        <is>
          <t>Shariah BNPL credit/risk decisioning</t>
        </is>
      </c>
      <c r="H73" s="5" t="inlineStr">
        <is>
          <t>agent-research</t>
        </is>
      </c>
      <c r="I73" s="5" t="inlineStr"/>
      <c r="J73" s="5" t="inlineStr">
        <is>
          <t>Research</t>
        </is>
      </c>
      <c r="K73" s="5" t="inlineStr"/>
      <c r="L73" s="5" t="inlineStr">
        <is>
          <t>$2.4B facility (Goldman/Citi/Apollo); 20M customers</t>
        </is>
      </c>
    </row>
    <row r="74">
      <c r="A74" s="5" t="inlineStr">
        <is>
          <t>B</t>
        </is>
      </c>
      <c r="B74" s="5" t="inlineStr">
        <is>
          <t>HireQuotient</t>
        </is>
      </c>
      <c r="C74" s="5" t="inlineStr"/>
      <c r="D74" s="5" t="inlineStr"/>
      <c r="E74" s="5" t="inlineStr">
        <is>
          <t>Singapore</t>
        </is>
      </c>
      <c r="F74" s="5" t="inlineStr">
        <is>
          <t>HR-tech</t>
        </is>
      </c>
      <c r="G74" s="5" t="inlineStr">
        <is>
          <t>AI recruiting OS: sourcing/assessment/video scoring</t>
        </is>
      </c>
      <c r="H74" s="5" t="inlineStr">
        <is>
          <t>agent-research</t>
        </is>
      </c>
      <c r="I74" s="5" t="inlineStr"/>
      <c r="J74" s="5" t="inlineStr">
        <is>
          <t>Research</t>
        </is>
      </c>
      <c r="K74" s="5" t="inlineStr"/>
      <c r="L74" s="5" t="inlineStr">
        <is>
          <t>Growth-stage; agentic recruiting</t>
        </is>
      </c>
    </row>
    <row r="75">
      <c r="A75" s="5" t="inlineStr">
        <is>
          <t>B</t>
        </is>
      </c>
      <c r="B75" s="5" t="inlineStr">
        <is>
          <t>Fuku AI</t>
        </is>
      </c>
      <c r="C75" s="5" t="inlineStr"/>
      <c r="D75" s="5" t="inlineStr"/>
      <c r="E75" s="5" t="inlineStr">
        <is>
          <t>Singapore</t>
        </is>
      </c>
      <c r="F75" s="5" t="inlineStr">
        <is>
          <t>HR-tech</t>
        </is>
      </c>
      <c r="G75" s="5" t="inlineStr">
        <is>
          <t>AI sources/screens/evaluates interviews</t>
        </is>
      </c>
      <c r="H75" s="5" t="inlineStr">
        <is>
          <t>agent-research</t>
        </is>
      </c>
      <c r="I75" s="5" t="inlineStr"/>
      <c r="J75" s="5" t="inlineStr">
        <is>
          <t>Research</t>
        </is>
      </c>
      <c r="K75" s="5" t="inlineStr"/>
      <c r="L75" s="5" t="inlineStr">
        <is>
          <t>Recently launched in SG</t>
        </is>
      </c>
    </row>
    <row r="76">
      <c r="A76" s="5" t="inlineStr">
        <is>
          <t>B</t>
        </is>
      </c>
      <c r="B76" s="5" t="inlineStr">
        <is>
          <t>CredoLab</t>
        </is>
      </c>
      <c r="C76" s="5" t="inlineStr"/>
      <c r="D76" s="5" t="inlineStr"/>
      <c r="E76" s="5" t="inlineStr">
        <is>
          <t>Singapore</t>
        </is>
      </c>
      <c r="F76" s="5" t="inlineStr">
        <is>
          <t>Fintech</t>
        </is>
      </c>
      <c r="G76" s="5" t="inlineStr">
        <is>
          <t>Credit scorecards from smartphone metadata</t>
        </is>
      </c>
      <c r="H76" s="5" t="inlineStr">
        <is>
          <t>agent-research</t>
        </is>
      </c>
      <c r="I76" s="5" t="inlineStr"/>
      <c r="J76" s="5" t="inlineStr">
        <is>
          <t>Research</t>
        </is>
      </c>
      <c r="K76" s="5" t="inlineStr"/>
      <c r="L76" s="5" t="inlineStr">
        <is>
          <t>50+ lenders 15 countries; Visa/CIMB</t>
        </is>
      </c>
    </row>
    <row r="77">
      <c r="A77" s="5" t="inlineStr">
        <is>
          <t>B</t>
        </is>
      </c>
      <c r="B77" s="5" t="inlineStr">
        <is>
          <t>Trusting Social</t>
        </is>
      </c>
      <c r="C77" s="5" t="inlineStr"/>
      <c r="D77" s="5" t="inlineStr"/>
      <c r="E77" s="5" t="inlineStr">
        <is>
          <t>Singapore</t>
        </is>
      </c>
      <c r="F77" s="5" t="inlineStr">
        <is>
          <t>Fintech</t>
        </is>
      </c>
      <c r="G77" s="5" t="inlineStr">
        <is>
          <t>AI credit scores from alt-data</t>
        </is>
      </c>
      <c r="H77" s="5" t="inlineStr">
        <is>
          <t>agent-research</t>
        </is>
      </c>
      <c r="I77" s="5" t="inlineStr"/>
      <c r="J77" s="5" t="inlineStr">
        <is>
          <t>Research</t>
        </is>
      </c>
      <c r="K77" s="5" t="inlineStr"/>
      <c r="L77" s="5" t="inlineStr">
        <is>
          <t>Sequoia/Tencent-backed</t>
        </is>
      </c>
    </row>
    <row r="78">
      <c r="A78" s="5" t="inlineStr">
        <is>
          <t>B</t>
        </is>
      </c>
      <c r="B78" s="5" t="inlineStr">
        <is>
          <t>LenddoEFL</t>
        </is>
      </c>
      <c r="C78" s="5" t="inlineStr"/>
      <c r="D78" s="5" t="inlineStr"/>
      <c r="E78" s="5" t="inlineStr">
        <is>
          <t>Singapore</t>
        </is>
      </c>
      <c r="F78" s="5" t="inlineStr">
        <is>
          <t>Fintech</t>
        </is>
      </c>
      <c r="G78" s="5" t="inlineStr">
        <is>
          <t>AI/behavioral-data credit scoring</t>
        </is>
      </c>
      <c r="H78" s="5" t="inlineStr">
        <is>
          <t>agent-research</t>
        </is>
      </c>
      <c r="I78" s="5" t="inlineStr"/>
      <c r="J78" s="5" t="inlineStr">
        <is>
          <t>Research</t>
        </is>
      </c>
      <c r="K78" s="5" t="inlineStr"/>
      <c r="L78" s="5" t="inlineStr">
        <is>
          <t>5M+ assessments; $2B+ disbursed</t>
        </is>
      </c>
    </row>
    <row r="79">
      <c r="A79" s="5" t="inlineStr">
        <is>
          <t>B</t>
        </is>
      </c>
      <c r="B79" s="5" t="inlineStr">
        <is>
          <t>Funding Societies</t>
        </is>
      </c>
      <c r="C79" s="5" t="inlineStr"/>
      <c r="D79" s="5" t="inlineStr"/>
      <c r="E79" s="5" t="inlineStr">
        <is>
          <t>Singapore</t>
        </is>
      </c>
      <c r="F79" s="5" t="inlineStr">
        <is>
          <t>Fintech</t>
        </is>
      </c>
      <c r="G79" s="5" t="inlineStr">
        <is>
          <t>AI credit models underwrite SME loans</t>
        </is>
      </c>
      <c r="H79" s="5" t="inlineStr">
        <is>
          <t>agent-research</t>
        </is>
      </c>
      <c r="I79" s="5" t="inlineStr"/>
      <c r="J79" s="5" t="inlineStr">
        <is>
          <t>Research</t>
        </is>
      </c>
      <c r="K79" s="5" t="inlineStr"/>
      <c r="L79" s="5" t="inlineStr">
        <is>
          <t>SE Asia's largest SME lender; $4B+</t>
        </is>
      </c>
    </row>
    <row r="80">
      <c r="A80" s="5" t="inlineStr">
        <is>
          <t>B</t>
        </is>
      </c>
      <c r="B80" s="5" t="inlineStr">
        <is>
          <t>Aspire</t>
        </is>
      </c>
      <c r="C80" s="5" t="inlineStr"/>
      <c r="D80" s="5" t="inlineStr"/>
      <c r="E80" s="5" t="inlineStr">
        <is>
          <t>Singapore</t>
        </is>
      </c>
      <c r="F80" s="5" t="inlineStr">
        <is>
          <t>Fintech</t>
        </is>
      </c>
      <c r="G80" s="5" t="inlineStr">
        <is>
          <t>Aspire AI + ML credit decisioning</t>
        </is>
      </c>
      <c r="H80" s="5" t="inlineStr">
        <is>
          <t>agent-research</t>
        </is>
      </c>
      <c r="I80" s="5" t="inlineStr"/>
      <c r="J80" s="5" t="inlineStr">
        <is>
          <t>Research</t>
        </is>
      </c>
      <c r="K80" s="5" t="inlineStr"/>
      <c r="L80" s="5" t="inlineStr">
        <is>
          <t>Launched Aspire AI; Singlife partner</t>
        </is>
      </c>
    </row>
    <row r="81">
      <c r="A81" s="5" t="inlineStr">
        <is>
          <t>B</t>
        </is>
      </c>
      <c r="B81" s="5" t="inlineStr">
        <is>
          <t>Beehive</t>
        </is>
      </c>
      <c r="C81" s="5" t="inlineStr"/>
      <c r="D81" s="5" t="inlineStr"/>
      <c r="E81" s="5" t="inlineStr">
        <is>
          <t>Dubai UAE</t>
        </is>
      </c>
      <c r="F81" s="5" t="inlineStr">
        <is>
          <t>Fintech</t>
        </is>
      </c>
      <c r="G81" s="5" t="inlineStr">
        <is>
          <t>AI + alt-data SME borrower scoring</t>
        </is>
      </c>
      <c r="H81" s="5" t="inlineStr">
        <is>
          <t>agent-research</t>
        </is>
      </c>
      <c r="I81" s="5" t="inlineStr"/>
      <c r="J81" s="5" t="inlineStr">
        <is>
          <t>Research</t>
        </is>
      </c>
      <c r="K81" s="5" t="inlineStr"/>
      <c r="L81" s="5" t="inlineStr">
        <is>
          <t>e&amp; majority stake; DFSA-regulated</t>
        </is>
      </c>
    </row>
    <row r="82">
      <c r="A82" s="5" t="inlineStr">
        <is>
          <t>B</t>
        </is>
      </c>
      <c r="B82" s="5" t="inlineStr">
        <is>
          <t>Lendo</t>
        </is>
      </c>
      <c r="C82" s="5" t="inlineStr"/>
      <c r="D82" s="5" t="inlineStr"/>
      <c r="E82" s="5" t="inlineStr">
        <is>
          <t>Riyadh SA</t>
        </is>
      </c>
      <c r="F82" s="5" t="inlineStr">
        <is>
          <t>Fintech</t>
        </is>
      </c>
      <c r="G82" s="5" t="inlineStr">
        <is>
          <t>AI screens SME borrowers (debt crowdfunding)</t>
        </is>
      </c>
      <c r="H82" s="5" t="inlineStr">
        <is>
          <t>agent-research</t>
        </is>
      </c>
      <c r="I82" s="5" t="inlineStr"/>
      <c r="J82" s="5" t="inlineStr">
        <is>
          <t>Research</t>
        </is>
      </c>
      <c r="K82" s="5" t="inlineStr"/>
      <c r="L82" s="5" t="inlineStr">
        <is>
          <t>~$740M financing 2025</t>
        </is>
      </c>
    </row>
    <row r="83">
      <c r="A83" s="5" t="inlineStr">
        <is>
          <t>B</t>
        </is>
      </c>
      <c r="B83" s="5" t="inlineStr">
        <is>
          <t>Tookitaki</t>
        </is>
      </c>
      <c r="C83" s="5" t="inlineStr"/>
      <c r="D83" s="5" t="inlineStr"/>
      <c r="E83" s="5" t="inlineStr">
        <is>
          <t>Singapore</t>
        </is>
      </c>
      <c r="F83" s="5" t="inlineStr">
        <is>
          <t>Fintech</t>
        </is>
      </c>
      <c r="G83" s="5" t="inlineStr">
        <is>
          <t>AI risk engine for AML/KYC due diligence</t>
        </is>
      </c>
      <c r="H83" s="5" t="inlineStr">
        <is>
          <t>agent-research</t>
        </is>
      </c>
      <c r="I83" s="5" t="inlineStr"/>
      <c r="J83" s="5" t="inlineStr">
        <is>
          <t>Research</t>
        </is>
      </c>
      <c r="K83" s="5" t="inlineStr"/>
      <c r="L83" s="5" t="inlineStr">
        <is>
          <t>MAS-aligned; enterprise banks</t>
        </is>
      </c>
    </row>
    <row r="84">
      <c r="A84" s="5" t="inlineStr">
        <is>
          <t>B</t>
        </is>
      </c>
      <c r="B84" s="5" t="inlineStr">
        <is>
          <t>Cynopsis</t>
        </is>
      </c>
      <c r="C84" s="5" t="inlineStr"/>
      <c r="D84" s="5" t="inlineStr"/>
      <c r="E84" s="5" t="inlineStr">
        <is>
          <t>Singapore</t>
        </is>
      </c>
      <c r="F84" s="5" t="inlineStr">
        <is>
          <t>Fintech</t>
        </is>
      </c>
      <c r="G84" s="5" t="inlineStr">
        <is>
          <t>AI KYC/AML + identity screening</t>
        </is>
      </c>
      <c r="H84" s="5" t="inlineStr">
        <is>
          <t>agent-research</t>
        </is>
      </c>
      <c r="I84" s="5" t="inlineStr"/>
      <c r="J84" s="5" t="inlineStr">
        <is>
          <t>Research</t>
        </is>
      </c>
      <c r="K84" s="5" t="inlineStr"/>
      <c r="L84" s="5" t="inlineStr">
        <is>
          <t>Regulated-FI base across APAC</t>
        </is>
      </c>
    </row>
    <row r="85">
      <c r="A85" s="5" t="inlineStr">
        <is>
          <t>B</t>
        </is>
      </c>
      <c r="B85" s="5" t="inlineStr">
        <is>
          <t>Bolttech</t>
        </is>
      </c>
      <c r="C85" s="5" t="inlineStr"/>
      <c r="D85" s="5" t="inlineStr"/>
      <c r="E85" s="5" t="inlineStr">
        <is>
          <t>Singapore</t>
        </is>
      </c>
      <c r="F85" s="5" t="inlineStr">
        <is>
          <t>Insurtech</t>
        </is>
      </c>
      <c r="G85" s="5" t="inlineStr">
        <is>
          <t>AI/ML embedded insurance risk/claims</t>
        </is>
      </c>
      <c r="H85" s="5" t="inlineStr">
        <is>
          <t>agent-research</t>
        </is>
      </c>
      <c r="I85" s="5" t="inlineStr"/>
      <c r="J85" s="5" t="inlineStr">
        <is>
          <t>Research</t>
        </is>
      </c>
      <c r="K85" s="5" t="inlineStr"/>
      <c r="L85" s="5" t="inlineStr">
        <is>
          <t>Insurtech unicorn; global insurers</t>
        </is>
      </c>
    </row>
    <row r="86">
      <c r="A86" s="5" t="inlineStr">
        <is>
          <t>B</t>
        </is>
      </c>
      <c r="B86" s="5" t="inlineStr">
        <is>
          <t>Hala (Addenda)</t>
        </is>
      </c>
      <c r="C86" s="5" t="inlineStr"/>
      <c r="D86" s="5" t="inlineStr"/>
      <c r="E86" s="5" t="inlineStr">
        <is>
          <t>Abu Dhabi UAE</t>
        </is>
      </c>
      <c r="F86" s="5" t="inlineStr">
        <is>
          <t>Insurtech</t>
        </is>
      </c>
      <c r="G86" s="5" t="inlineStr">
        <is>
          <t>AI/ML motor underwriting &amp; pricing</t>
        </is>
      </c>
      <c r="H86" s="5" t="inlineStr">
        <is>
          <t>agent-research</t>
        </is>
      </c>
      <c r="I86" s="5" t="inlineStr"/>
      <c r="J86" s="5" t="inlineStr">
        <is>
          <t>Research</t>
        </is>
      </c>
      <c r="K86" s="5" t="inlineStr"/>
      <c r="L86" s="5" t="inlineStr">
        <is>
          <t>$5M (Mubadala); ADGM-licensed</t>
        </is>
      </c>
    </row>
    <row r="87">
      <c r="A87" s="5" t="inlineStr">
        <is>
          <t>B</t>
        </is>
      </c>
      <c r="B87" s="5" t="inlineStr">
        <is>
          <t>Yallacompare</t>
        </is>
      </c>
      <c r="C87" s="5" t="inlineStr"/>
      <c r="D87" s="5" t="inlineStr"/>
      <c r="E87" s="5" t="inlineStr">
        <is>
          <t>Dubai UAE</t>
        </is>
      </c>
      <c r="F87" s="5" t="inlineStr">
        <is>
          <t>Insurtech</t>
        </is>
      </c>
      <c r="G87" s="5" t="inlineStr">
        <is>
          <t>Engine matches users to insurance/loans</t>
        </is>
      </c>
      <c r="H87" s="5" t="inlineStr">
        <is>
          <t>agent-research</t>
        </is>
      </c>
      <c r="I87" s="5" t="inlineStr"/>
      <c r="J87" s="5" t="inlineStr">
        <is>
          <t>Research</t>
        </is>
      </c>
      <c r="K87" s="5" t="inlineStr"/>
      <c r="L87" s="5" t="inlineStr">
        <is>
          <t>$9M+; regulated marketplace</t>
        </is>
      </c>
    </row>
    <row r="88">
      <c r="A88" s="5" t="inlineStr">
        <is>
          <t>C</t>
        </is>
      </c>
      <c r="B88" s="5" t="inlineStr">
        <is>
          <t>Anyfin</t>
        </is>
      </c>
      <c r="C88" s="5" t="inlineStr"/>
      <c r="D88" s="5" t="inlineStr"/>
      <c r="E88" s="5" t="inlineStr">
        <is>
          <t>Stockholm SE</t>
        </is>
      </c>
      <c r="F88" s="5" t="inlineStr">
        <is>
          <t>Fintech</t>
        </is>
      </c>
      <c r="G88" s="5" t="inlineStr">
        <is>
          <t>AI consumer loan refinancing/assessment</t>
        </is>
      </c>
      <c r="H88" s="5" t="inlineStr">
        <is>
          <t>agent-research</t>
        </is>
      </c>
      <c r="I88" s="5" t="inlineStr"/>
      <c r="J88" s="5" t="inlineStr">
        <is>
          <t>Research</t>
        </is>
      </c>
      <c r="K88" s="5" t="inlineStr"/>
      <c r="L88" s="5" t="inlineStr">
        <is>
          <t>Multi-market; ~205 staff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6" customWidth="1" min="3" max="3"/>
    <col width="18" customWidth="1" min="4" max="4"/>
    <col width="11" customWidth="1" min="5" max="5"/>
    <col width="12" customWidth="1" min="6" max="6"/>
    <col width="12" customWidth="1" min="7" max="7"/>
    <col width="26" customWidth="1" min="8" max="8"/>
    <col width="12" customWidth="1" min="9" max="9"/>
  </cols>
  <sheetData>
    <row r="1">
      <c r="A1" s="1" t="inlineStr">
        <is>
          <t>Pipeline — active deals</t>
        </is>
      </c>
    </row>
    <row r="2">
      <c r="A2" s="4" t="inlineStr">
        <is>
          <t>Company</t>
        </is>
      </c>
      <c r="B2" s="4" t="inlineStr">
        <is>
          <t>Contact</t>
        </is>
      </c>
      <c r="C2" s="4" t="inlineStr">
        <is>
          <t>Stage</t>
        </is>
      </c>
      <c r="D2" s="4" t="inlineStr">
        <is>
          <t>Plan (annual/monthly)</t>
        </is>
      </c>
      <c r="E2" s="4" t="inlineStr">
        <is>
          <t>Value €</t>
        </is>
      </c>
      <c r="F2" s="4" t="inlineStr">
        <is>
          <t>Close prob %</t>
        </is>
      </c>
      <c r="G2" s="4" t="inlineStr">
        <is>
          <t>Weighted €</t>
        </is>
      </c>
      <c r="H2" s="4" t="inlineStr">
        <is>
          <t>Next step</t>
        </is>
      </c>
      <c r="I2" s="4" t="inlineStr">
        <is>
          <t>Date</t>
        </is>
      </c>
    </row>
    <row r="3">
      <c r="A3" s="5" t="n"/>
      <c r="B3" s="5" t="n"/>
      <c r="C3" s="5" t="n"/>
      <c r="D3" s="5" t="n"/>
      <c r="E3" s="16" t="n"/>
      <c r="F3" s="5" t="n"/>
      <c r="G3" s="16">
        <f>IF(AND(E3&lt;&gt;"",F3&lt;&gt;""),E3*F3/100,"")</f>
        <v/>
      </c>
      <c r="H3" s="5" t="n"/>
      <c r="I3" s="5" t="n"/>
    </row>
    <row r="4">
      <c r="A4" s="5" t="n"/>
      <c r="B4" s="5" t="n"/>
      <c r="C4" s="5" t="n"/>
      <c r="D4" s="5" t="n"/>
      <c r="E4" s="16" t="n"/>
      <c r="F4" s="5" t="n"/>
      <c r="G4" s="16">
        <f>IF(AND(E4&lt;&gt;"",F4&lt;&gt;""),E4*F4/100,"")</f>
        <v/>
      </c>
      <c r="H4" s="5" t="n"/>
      <c r="I4" s="5" t="n"/>
    </row>
    <row r="5">
      <c r="A5" s="5" t="n"/>
      <c r="B5" s="5" t="n"/>
      <c r="C5" s="5" t="n"/>
      <c r="D5" s="5" t="n"/>
      <c r="E5" s="16" t="n"/>
      <c r="F5" s="5" t="n"/>
      <c r="G5" s="16">
        <f>IF(AND(E5&lt;&gt;"",F5&lt;&gt;""),E5*F5/100,"")</f>
        <v/>
      </c>
      <c r="H5" s="5" t="n"/>
      <c r="I5" s="5" t="n"/>
    </row>
    <row r="6">
      <c r="A6" s="5" t="n"/>
      <c r="B6" s="5" t="n"/>
      <c r="C6" s="5" t="n"/>
      <c r="D6" s="5" t="n"/>
      <c r="E6" s="16" t="n"/>
      <c r="F6" s="5" t="n"/>
      <c r="G6" s="16">
        <f>IF(AND(E6&lt;&gt;"",F6&lt;&gt;""),E6*F6/100,"")</f>
        <v/>
      </c>
      <c r="H6" s="5" t="n"/>
      <c r="I6" s="5" t="n"/>
    </row>
    <row r="7">
      <c r="A7" s="5" t="n"/>
      <c r="B7" s="5" t="n"/>
      <c r="C7" s="5" t="n"/>
      <c r="D7" s="5" t="n"/>
      <c r="E7" s="16" t="n"/>
      <c r="F7" s="5" t="n"/>
      <c r="G7" s="16">
        <f>IF(AND(E7&lt;&gt;"",F7&lt;&gt;""),E7*F7/100,"")</f>
        <v/>
      </c>
      <c r="H7" s="5" t="n"/>
      <c r="I7" s="5" t="n"/>
    </row>
    <row r="8">
      <c r="A8" s="5" t="n"/>
      <c r="B8" s="5" t="n"/>
      <c r="C8" s="5" t="n"/>
      <c r="D8" s="5" t="n"/>
      <c r="E8" s="16" t="n"/>
      <c r="F8" s="5" t="n"/>
      <c r="G8" s="16">
        <f>IF(AND(E8&lt;&gt;"",F8&lt;&gt;""),E8*F8/100,"")</f>
        <v/>
      </c>
      <c r="H8" s="5" t="n"/>
      <c r="I8" s="5" t="n"/>
    </row>
    <row r="9">
      <c r="A9" s="5" t="n"/>
      <c r="B9" s="5" t="n"/>
      <c r="C9" s="5" t="n"/>
      <c r="D9" s="5" t="n"/>
      <c r="E9" s="16" t="n"/>
      <c r="F9" s="5" t="n"/>
      <c r="G9" s="16">
        <f>IF(AND(E9&lt;&gt;"",F9&lt;&gt;""),E9*F9/100,"")</f>
        <v/>
      </c>
      <c r="H9" s="5" t="n"/>
      <c r="I9" s="5" t="n"/>
    </row>
    <row r="10">
      <c r="A10" s="5" t="n"/>
      <c r="B10" s="5" t="n"/>
      <c r="C10" s="5" t="n"/>
      <c r="D10" s="5" t="n"/>
      <c r="E10" s="16" t="n"/>
      <c r="F10" s="5" t="n"/>
      <c r="G10" s="16">
        <f>IF(AND(E10&lt;&gt;"",F10&lt;&gt;""),E10*F10/100,"")</f>
        <v/>
      </c>
      <c r="H10" s="5" t="n"/>
      <c r="I10" s="5" t="n"/>
    </row>
    <row r="11">
      <c r="A11" s="5" t="n"/>
      <c r="B11" s="5" t="n"/>
      <c r="C11" s="5" t="n"/>
      <c r="D11" s="5" t="n"/>
      <c r="E11" s="16" t="n"/>
      <c r="F11" s="5" t="n"/>
      <c r="G11" s="16">
        <f>IF(AND(E11&lt;&gt;"",F11&lt;&gt;""),E11*F11/100,"")</f>
        <v/>
      </c>
      <c r="H11" s="5" t="n"/>
      <c r="I11" s="5" t="n"/>
    </row>
    <row r="12">
      <c r="A12" s="5" t="n"/>
      <c r="B12" s="5" t="n"/>
      <c r="C12" s="5" t="n"/>
      <c r="D12" s="5" t="n"/>
      <c r="E12" s="16" t="n"/>
      <c r="F12" s="5" t="n"/>
      <c r="G12" s="16">
        <f>IF(AND(E12&lt;&gt;"",F12&lt;&gt;""),E12*F12/100,"")</f>
        <v/>
      </c>
      <c r="H12" s="5" t="n"/>
      <c r="I12" s="5" t="n"/>
    </row>
    <row r="13">
      <c r="A13" s="5" t="n"/>
      <c r="B13" s="5" t="n"/>
      <c r="C13" s="5" t="n"/>
      <c r="D13" s="5" t="n"/>
      <c r="E13" s="16" t="n"/>
      <c r="F13" s="5" t="n"/>
      <c r="G13" s="16">
        <f>IF(AND(E13&lt;&gt;"",F13&lt;&gt;""),E13*F13/100,"")</f>
        <v/>
      </c>
      <c r="H13" s="5" t="n"/>
      <c r="I13" s="5" t="n"/>
    </row>
    <row r="14">
      <c r="A14" s="5" t="n"/>
      <c r="B14" s="5" t="n"/>
      <c r="C14" s="5" t="n"/>
      <c r="D14" s="5" t="n"/>
      <c r="E14" s="16" t="n"/>
      <c r="F14" s="5" t="n"/>
      <c r="G14" s="16">
        <f>IF(AND(E14&lt;&gt;"",F14&lt;&gt;""),E14*F14/100,"")</f>
        <v/>
      </c>
      <c r="H14" s="5" t="n"/>
      <c r="I14" s="5" t="n"/>
    </row>
    <row r="15">
      <c r="A15" s="5" t="n"/>
      <c r="B15" s="5" t="n"/>
      <c r="C15" s="5" t="n"/>
      <c r="D15" s="5" t="n"/>
      <c r="E15" s="16" t="n"/>
      <c r="F15" s="5" t="n"/>
      <c r="G15" s="16">
        <f>IF(AND(E15&lt;&gt;"",F15&lt;&gt;""),E15*F15/100,"")</f>
        <v/>
      </c>
      <c r="H15" s="5" t="n"/>
      <c r="I15" s="5" t="n"/>
    </row>
    <row r="16">
      <c r="A16" s="5" t="n"/>
      <c r="B16" s="5" t="n"/>
      <c r="C16" s="5" t="n"/>
      <c r="D16" s="5" t="n"/>
      <c r="E16" s="16" t="n"/>
      <c r="F16" s="5" t="n"/>
      <c r="G16" s="16">
        <f>IF(AND(E16&lt;&gt;"",F16&lt;&gt;""),E16*F16/100,"")</f>
        <v/>
      </c>
      <c r="H16" s="5" t="n"/>
      <c r="I16" s="5" t="n"/>
    </row>
    <row r="17">
      <c r="A17" s="5" t="n"/>
      <c r="B17" s="5" t="n"/>
      <c r="C17" s="5" t="n"/>
      <c r="D17" s="5" t="n"/>
      <c r="E17" s="16" t="n"/>
      <c r="F17" s="5" t="n"/>
      <c r="G17" s="16">
        <f>IF(AND(E17&lt;&gt;"",F17&lt;&gt;""),E17*F17/100,"")</f>
        <v/>
      </c>
      <c r="H17" s="5" t="n"/>
      <c r="I17" s="5" t="n"/>
    </row>
    <row r="18">
      <c r="A18" s="5" t="n"/>
      <c r="B18" s="5" t="n"/>
      <c r="C18" s="5" t="n"/>
      <c r="D18" s="5" t="n"/>
      <c r="E18" s="16" t="n"/>
      <c r="F18" s="5" t="n"/>
      <c r="G18" s="16">
        <f>IF(AND(E18&lt;&gt;"",F18&lt;&gt;""),E18*F18/100,"")</f>
        <v/>
      </c>
      <c r="H18" s="5" t="n"/>
      <c r="I18" s="5" t="n"/>
    </row>
    <row r="19">
      <c r="A19" s="5" t="n"/>
      <c r="B19" s="5" t="n"/>
      <c r="C19" s="5" t="n"/>
      <c r="D19" s="5" t="n"/>
      <c r="E19" s="16" t="n"/>
      <c r="F19" s="5" t="n"/>
      <c r="G19" s="16">
        <f>IF(AND(E19&lt;&gt;"",F19&lt;&gt;""),E19*F19/100,"")</f>
        <v/>
      </c>
      <c r="H19" s="5" t="n"/>
      <c r="I19" s="5" t="n"/>
    </row>
    <row r="20">
      <c r="A20" s="5" t="n"/>
      <c r="B20" s="5" t="n"/>
      <c r="C20" s="5" t="n"/>
      <c r="D20" s="5" t="n"/>
      <c r="E20" s="16" t="n"/>
      <c r="F20" s="5" t="n"/>
      <c r="G20" s="16">
        <f>IF(AND(E20&lt;&gt;"",F20&lt;&gt;""),E20*F20/100,"")</f>
        <v/>
      </c>
      <c r="H20" s="5" t="n"/>
      <c r="I20" s="5" t="n"/>
    </row>
    <row r="21">
      <c r="A21" s="5" t="n"/>
      <c r="B21" s="5" t="n"/>
      <c r="C21" s="5" t="n"/>
      <c r="D21" s="5" t="n"/>
      <c r="E21" s="16" t="n"/>
      <c r="F21" s="5" t="n"/>
      <c r="G21" s="16">
        <f>IF(AND(E21&lt;&gt;"",F21&lt;&gt;""),E21*F21/100,"")</f>
        <v/>
      </c>
      <c r="H21" s="5" t="n"/>
      <c r="I21" s="5" t="n"/>
    </row>
    <row r="22">
      <c r="A22" s="5" t="n"/>
      <c r="B22" s="5" t="n"/>
      <c r="C22" s="5" t="n"/>
      <c r="D22" s="5" t="n"/>
      <c r="E22" s="16" t="n"/>
      <c r="F22" s="5" t="n"/>
      <c r="G22" s="16">
        <f>IF(AND(E22&lt;&gt;"",F22&lt;&gt;""),E22*F22/100,"")</f>
        <v/>
      </c>
      <c r="H22" s="5" t="n"/>
      <c r="I22" s="5" t="n"/>
    </row>
    <row r="23">
      <c r="A23" s="5" t="n"/>
      <c r="B23" s="5" t="n"/>
      <c r="C23" s="5" t="n"/>
      <c r="D23" s="5" t="n"/>
      <c r="E23" s="16" t="n"/>
      <c r="F23" s="5" t="n"/>
      <c r="G23" s="16">
        <f>IF(AND(E23&lt;&gt;"",F23&lt;&gt;""),E23*F23/100,"")</f>
        <v/>
      </c>
      <c r="H23" s="5" t="n"/>
      <c r="I23" s="5" t="n"/>
    </row>
    <row r="24">
      <c r="A24" s="5" t="n"/>
      <c r="B24" s="5" t="n"/>
      <c r="C24" s="5" t="n"/>
      <c r="D24" s="5" t="n"/>
      <c r="E24" s="16" t="n"/>
      <c r="F24" s="5" t="n"/>
      <c r="G24" s="16">
        <f>IF(AND(E24&lt;&gt;"",F24&lt;&gt;""),E24*F24/100,"")</f>
        <v/>
      </c>
      <c r="H24" s="5" t="n"/>
      <c r="I24" s="5" t="n"/>
    </row>
    <row r="25">
      <c r="A25" s="5" t="n"/>
      <c r="B25" s="5" t="n"/>
      <c r="C25" s="5" t="n"/>
      <c r="D25" s="5" t="n"/>
      <c r="E25" s="16" t="n"/>
      <c r="F25" s="5" t="n"/>
      <c r="G25" s="16">
        <f>IF(AND(E25&lt;&gt;"",F25&lt;&gt;""),E25*F25/100,"")</f>
        <v/>
      </c>
      <c r="H25" s="5" t="n"/>
      <c r="I25" s="5" t="n"/>
    </row>
    <row r="26">
      <c r="A26" s="5" t="n"/>
      <c r="B26" s="5" t="n"/>
      <c r="C26" s="5" t="n"/>
      <c r="D26" s="5" t="n"/>
      <c r="E26" s="16" t="n"/>
      <c r="F26" s="5" t="n"/>
      <c r="G26" s="16">
        <f>IF(AND(E26&lt;&gt;"",F26&lt;&gt;""),E26*F26/100,"")</f>
        <v/>
      </c>
      <c r="H26" s="5" t="n"/>
      <c r="I26" s="5" t="n"/>
    </row>
    <row r="27">
      <c r="A27" s="5" t="n"/>
      <c r="B27" s="5" t="n"/>
      <c r="C27" s="5" t="n"/>
      <c r="D27" s="5" t="n"/>
      <c r="E27" s="16" t="n"/>
      <c r="F27" s="5" t="n"/>
      <c r="G27" s="16">
        <f>IF(AND(E27&lt;&gt;"",F27&lt;&gt;""),E27*F27/100,"")</f>
        <v/>
      </c>
      <c r="H27" s="5" t="n"/>
      <c r="I27" s="5" t="n"/>
    </row>
    <row r="28">
      <c r="A28" s="5" t="n"/>
      <c r="B28" s="5" t="n"/>
      <c r="C28" s="5" t="n"/>
      <c r="D28" s="5" t="n"/>
      <c r="E28" s="16" t="n"/>
      <c r="F28" s="5" t="n"/>
      <c r="G28" s="16">
        <f>IF(AND(E28&lt;&gt;"",F28&lt;&gt;""),E28*F28/100,"")</f>
        <v/>
      </c>
      <c r="H28" s="5" t="n"/>
      <c r="I28" s="5" t="n"/>
    </row>
    <row r="29">
      <c r="A29" s="5" t="n"/>
      <c r="B29" s="5" t="n"/>
      <c r="C29" s="5" t="n"/>
      <c r="D29" s="5" t="n"/>
      <c r="E29" s="16" t="n"/>
      <c r="F29" s="5" t="n"/>
      <c r="G29" s="16">
        <f>IF(AND(E29&lt;&gt;"",F29&lt;&gt;""),E29*F29/100,"")</f>
        <v/>
      </c>
      <c r="H29" s="5" t="n"/>
      <c r="I29" s="5" t="n"/>
    </row>
    <row r="31">
      <c r="A31" s="17" t="inlineStr">
        <is>
          <t>Weighted pipeline:</t>
        </is>
      </c>
      <c r="G31" s="18">
        <f>SUM(G3:G30)</f>
        <v/>
      </c>
    </row>
    <row r="32">
      <c r="A32" s="2" t="inlineStr">
        <is>
          <t>Stages: Snapshot → Demo → Verbal → Payment sent → WON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2026-05-29T21:24:19Z</dcterms:created>
  <dcterms:modified xmlns:dcterms="http://purl.org/dc/terms/" xmlns:xsi="http://www.w3.org/2001/XMLSchema-instance" xsi:type="dcterms:W3CDTF">2026-06-15T16:24:04Z</dcterms:modified>
</cp:coreProperties>
</file>